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X:\03_Оборудование (EQT)\017_Инлеты (INL)\0060_Инлет настенный типа AA (WAA)\00461_PZ-EQT-INL-WAA-A\0_Модели\"/>
    </mc:Choice>
  </mc:AlternateContent>
  <xr:revisionPtr revIDLastSave="0" documentId="13_ncr:1_{E479A689-F548-461E-AE91-4FC1F0D6001D}" xr6:coauthVersionLast="36" xr6:coauthVersionMax="47" xr10:uidLastSave="{00000000-0000-0000-0000-000000000000}"/>
  <bookViews>
    <workbookView xWindow="0" yWindow="0" windowWidth="38400" windowHeight="16755" xr2:uid="{00000000-000D-0000-FFFF-FFFF00000000}"/>
  </bookViews>
  <sheets>
    <sheet name="НА ПАРСИНГ" sheetId="1" r:id="rId1"/>
    <sheet name="КВ (установка)" sheetId="12" r:id="rId2"/>
  </sheets>
  <definedNames>
    <definedName name="_xlnm._FilterDatabase" localSheetId="1" hidden="1">'КВ (установка)'!$A$3:$H$98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3" i="1" l="1"/>
  <c r="A63" i="1"/>
  <c r="B63" i="1"/>
  <c r="E78" i="12"/>
  <c r="E66" i="12" l="1"/>
  <c r="B18" i="1"/>
  <c r="C18" i="1"/>
  <c r="A18" i="1" s="1"/>
  <c r="E24" i="12"/>
  <c r="K24" i="12" s="1"/>
  <c r="E94" i="12"/>
  <c r="K94" i="12" s="1"/>
  <c r="E93" i="12"/>
  <c r="E53" i="12" l="1"/>
  <c r="E50" i="12"/>
  <c r="E49" i="12"/>
  <c r="E48" i="12"/>
  <c r="E47" i="12"/>
  <c r="E46" i="12"/>
  <c r="E45" i="12"/>
  <c r="E12" i="12" l="1"/>
  <c r="B6" i="1" l="1"/>
  <c r="C6" i="1"/>
  <c r="B3" i="1"/>
  <c r="C3" i="1"/>
  <c r="E5" i="12"/>
  <c r="A3" i="1" l="1"/>
  <c r="C66" i="1"/>
  <c r="B66" i="1"/>
  <c r="E81" i="12"/>
  <c r="A66" i="1" l="1"/>
  <c r="B33" i="1"/>
  <c r="C33" i="1"/>
  <c r="B34" i="1"/>
  <c r="C34" i="1"/>
  <c r="E7" i="12" l="1"/>
  <c r="K5" i="12" s="1"/>
  <c r="K41" i="12" l="1"/>
  <c r="E15" i="12"/>
  <c r="E8" i="12"/>
  <c r="E16" i="12"/>
  <c r="E18" i="12"/>
  <c r="E19" i="12"/>
  <c r="E20" i="12"/>
  <c r="E10" i="12"/>
  <c r="E22" i="12"/>
  <c r="K22" i="12" s="1"/>
  <c r="E23" i="12"/>
  <c r="K23" i="12" s="1"/>
  <c r="E26" i="12"/>
  <c r="K26" i="12" s="1"/>
  <c r="E27" i="12"/>
  <c r="K27" i="12" s="1"/>
  <c r="E28" i="12"/>
  <c r="K28" i="12" s="1"/>
  <c r="E29" i="12"/>
  <c r="K29" i="12" s="1"/>
  <c r="E30" i="12"/>
  <c r="K30" i="12" s="1"/>
  <c r="E31" i="12"/>
  <c r="K31" i="12" s="1"/>
  <c r="E33" i="12"/>
  <c r="K33" i="12" s="1"/>
  <c r="E34" i="12"/>
  <c r="E36" i="12"/>
  <c r="E38" i="12"/>
  <c r="E40" i="12"/>
  <c r="K40" i="12" s="1"/>
  <c r="E41" i="12"/>
  <c r="E43" i="12"/>
  <c r="E51" i="12"/>
  <c r="E52" i="12"/>
  <c r="E54" i="12"/>
  <c r="E56" i="12"/>
  <c r="E58" i="12"/>
  <c r="E59" i="12"/>
  <c r="E60" i="12"/>
  <c r="E61" i="12"/>
  <c r="E62" i="12"/>
  <c r="E64" i="12"/>
  <c r="E65" i="12"/>
  <c r="E68" i="12"/>
  <c r="E70" i="12"/>
  <c r="E71" i="12"/>
  <c r="E72" i="12"/>
  <c r="E73" i="12"/>
  <c r="E74" i="12"/>
  <c r="E75" i="12"/>
  <c r="E76" i="12"/>
  <c r="E77" i="12"/>
  <c r="E79" i="12"/>
  <c r="E82" i="12"/>
  <c r="E83" i="12"/>
  <c r="E85" i="12"/>
  <c r="E87" i="12"/>
  <c r="E88" i="12"/>
  <c r="E90" i="12"/>
  <c r="E91" i="12"/>
  <c r="E92" i="12"/>
  <c r="E14" i="12"/>
  <c r="K14" i="12" s="1"/>
  <c r="K90" i="12" l="1"/>
  <c r="K54" i="12"/>
  <c r="K38" i="12"/>
  <c r="K88" i="12"/>
  <c r="K85" i="12"/>
  <c r="K65" i="12"/>
  <c r="K79" i="12"/>
  <c r="C62" i="1" l="1"/>
  <c r="B62" i="1"/>
  <c r="C61" i="1"/>
  <c r="B61" i="1"/>
  <c r="B76" i="1" l="1"/>
  <c r="C76" i="1"/>
  <c r="B74" i="1"/>
  <c r="C74" i="1"/>
  <c r="A74" i="1" s="1"/>
  <c r="B72" i="1"/>
  <c r="C72" i="1"/>
  <c r="B70" i="1"/>
  <c r="C70" i="1"/>
  <c r="B67" i="1"/>
  <c r="C67" i="1"/>
  <c r="B68" i="1"/>
  <c r="C68" i="1"/>
  <c r="B55" i="1"/>
  <c r="C55" i="1"/>
  <c r="B56" i="1"/>
  <c r="C56" i="1"/>
  <c r="B57" i="1"/>
  <c r="C57" i="1"/>
  <c r="B58" i="1"/>
  <c r="C58" i="1"/>
  <c r="B59" i="1"/>
  <c r="C59" i="1"/>
  <c r="B60" i="1"/>
  <c r="C60" i="1"/>
  <c r="B64" i="1"/>
  <c r="C64" i="1"/>
  <c r="B53" i="1"/>
  <c r="C53" i="1"/>
  <c r="B50" i="1"/>
  <c r="C50" i="1"/>
  <c r="A50" i="1" s="1"/>
  <c r="B51" i="1"/>
  <c r="C51" i="1"/>
  <c r="A51" i="1" s="1"/>
  <c r="B44" i="1"/>
  <c r="C44" i="1"/>
  <c r="B45" i="1"/>
  <c r="C45" i="1"/>
  <c r="B46" i="1"/>
  <c r="C46" i="1"/>
  <c r="B47" i="1"/>
  <c r="C47" i="1"/>
  <c r="B48" i="1"/>
  <c r="C48" i="1"/>
  <c r="B42" i="1"/>
  <c r="C42" i="1"/>
  <c r="B39" i="1"/>
  <c r="C39" i="1"/>
  <c r="B40" i="1"/>
  <c r="C40" i="1"/>
  <c r="B38" i="1"/>
  <c r="C38" i="1"/>
  <c r="B36" i="1"/>
  <c r="C36" i="1"/>
  <c r="A36" i="1" s="1"/>
  <c r="B31" i="1"/>
  <c r="C31" i="1"/>
  <c r="A31" i="1" s="1"/>
  <c r="B29" i="1"/>
  <c r="C29" i="1"/>
  <c r="B26" i="1"/>
  <c r="C26" i="1"/>
  <c r="B27" i="1"/>
  <c r="C27" i="1"/>
  <c r="B20" i="1"/>
  <c r="C20" i="1"/>
  <c r="B21" i="1"/>
  <c r="C21" i="1"/>
  <c r="B22" i="1"/>
  <c r="C22" i="1"/>
  <c r="B23" i="1"/>
  <c r="C23" i="1"/>
  <c r="B24" i="1"/>
  <c r="C24" i="1"/>
  <c r="B16" i="1"/>
  <c r="C16" i="1"/>
  <c r="B17" i="1"/>
  <c r="C17" i="1"/>
  <c r="B12" i="1"/>
  <c r="C12" i="1"/>
  <c r="B13" i="1"/>
  <c r="C13" i="1"/>
  <c r="B14" i="1"/>
  <c r="C14" i="1"/>
  <c r="B8" i="1"/>
  <c r="C8" i="1"/>
  <c r="B9" i="1"/>
  <c r="C9" i="1"/>
  <c r="B5" i="1"/>
  <c r="C5" i="1"/>
  <c r="B10" i="1"/>
  <c r="C10" i="1"/>
  <c r="B4" i="1"/>
  <c r="C4" i="1"/>
  <c r="A53" i="1" l="1"/>
  <c r="A39" i="1"/>
  <c r="A38" i="1"/>
  <c r="A33" i="1" l="1"/>
  <c r="A17" i="1" l="1"/>
  <c r="A5" i="1" l="1"/>
  <c r="A72" i="1" l="1"/>
  <c r="A70" i="1"/>
  <c r="A58" i="1" l="1"/>
  <c r="A64" i="1"/>
  <c r="A26" i="1"/>
  <c r="A40" i="1"/>
  <c r="A22" i="1"/>
  <c r="A4" i="1"/>
  <c r="A23" i="1"/>
  <c r="A16" i="1"/>
  <c r="A8" i="1"/>
  <c r="A9" i="1"/>
  <c r="A42" i="1"/>
  <c r="A10" i="1"/>
</calcChain>
</file>

<file path=xl/sharedStrings.xml><?xml version="1.0" encoding="utf-8"?>
<sst xmlns="http://schemas.openxmlformats.org/spreadsheetml/2006/main" count="1010" uniqueCount="212">
  <si>
    <t>Разраб.</t>
  </si>
  <si>
    <t>Пров.</t>
  </si>
  <si>
    <t>Т. контр</t>
  </si>
  <si>
    <t>Нач. отд.</t>
  </si>
  <si>
    <t>Н. контр.</t>
  </si>
  <si>
    <t>Утв.</t>
  </si>
  <si>
    <t>Компания</t>
  </si>
  <si>
    <t>Дата проверки 2</t>
  </si>
  <si>
    <t>Дата проверки 3</t>
  </si>
  <si>
    <t>Дата проверки 4</t>
  </si>
  <si>
    <t>Дата проверки 5</t>
  </si>
  <si>
    <t xml:space="preserve">Обозначение </t>
  </si>
  <si>
    <t>Наименование</t>
  </si>
  <si>
    <t>Дата проверки 1</t>
  </si>
  <si>
    <t>Деталь / Сборка</t>
  </si>
  <si>
    <t>Деталь</t>
  </si>
  <si>
    <t>Сборка</t>
  </si>
  <si>
    <t>Пр-во</t>
  </si>
  <si>
    <t>Закуп</t>
  </si>
  <si>
    <t>-</t>
  </si>
  <si>
    <t>Крисковец</t>
  </si>
  <si>
    <t>Зайцев</t>
  </si>
  <si>
    <t>Лист нижний</t>
  </si>
  <si>
    <t>Замок в сборе</t>
  </si>
  <si>
    <t>Втулка дверцы</t>
  </si>
  <si>
    <t>Название модели</t>
  </si>
  <si>
    <t>Дата проверки 6</t>
  </si>
  <si>
    <t>Пр-во / Закуп</t>
  </si>
  <si>
    <t>Лист верхний</t>
  </si>
  <si>
    <t>ООО "ПУЦЕР РУ"</t>
  </si>
  <si>
    <t>Состав изделия</t>
  </si>
  <si>
    <t>Инлет
EP.350.400.C</t>
  </si>
  <si>
    <t>Листов 1</t>
  </si>
  <si>
    <t>№ п/п</t>
  </si>
  <si>
    <t>Обозначение</t>
  </si>
  <si>
    <t>Кол-во на 1 комплект</t>
  </si>
  <si>
    <t>Кол-во на заказ</t>
  </si>
  <si>
    <t>Ссылки и материалы</t>
  </si>
  <si>
    <t>Инлет настенный</t>
  </si>
  <si>
    <t>Детали</t>
  </si>
  <si>
    <t>Лист правый</t>
  </si>
  <si>
    <t>Лист левый</t>
  </si>
  <si>
    <t>Рамка в сборе</t>
  </si>
  <si>
    <t>Рамка</t>
  </si>
  <si>
    <t>Фамилия</t>
  </si>
  <si>
    <t>Дата, тел.</t>
  </si>
  <si>
    <t xml:space="preserve">Разработал </t>
  </si>
  <si>
    <t>Проверил</t>
  </si>
  <si>
    <t>Изм.</t>
  </si>
  <si>
    <t>№ документа</t>
  </si>
  <si>
    <t>Дверца в сборе</t>
  </si>
  <si>
    <t>Наименование и артикул изделия</t>
  </si>
  <si>
    <t>Короб</t>
  </si>
  <si>
    <t>Кронштейн петли</t>
  </si>
  <si>
    <t>Шайба запорной планки</t>
  </si>
  <si>
    <t>Крышка</t>
  </si>
  <si>
    <t>Стопор дверцы</t>
  </si>
  <si>
    <t>Прокладка</t>
  </si>
  <si>
    <t>Прокладка между рамкой и подвижной обечайкой</t>
  </si>
  <si>
    <t>Шифр меток</t>
  </si>
  <si>
    <t>Обечайка подвижная</t>
  </si>
  <si>
    <t>Пластина фронтальная</t>
  </si>
  <si>
    <t>Планка запорная</t>
  </si>
  <si>
    <t>Лента противопожарная горизонтальная</t>
  </si>
  <si>
    <t>Производитель</t>
  </si>
  <si>
    <t>Рона-сервис</t>
  </si>
  <si>
    <t>Техноэво</t>
  </si>
  <si>
    <t>Сенсор в сборе</t>
  </si>
  <si>
    <t>Направляющая</t>
  </si>
  <si>
    <t>Втулка</t>
  </si>
  <si>
    <t>Сборочные единицы</t>
  </si>
  <si>
    <t>Прочие изделия</t>
  </si>
  <si>
    <t>Дверца</t>
  </si>
  <si>
    <t>Кронштейн</t>
  </si>
  <si>
    <t>Держатель замка</t>
  </si>
  <si>
    <t>Пуцер</t>
  </si>
  <si>
    <t>Ремизов</t>
  </si>
  <si>
    <t>Лента противопожарная вертикальная</t>
  </si>
  <si>
    <t>Лист рамки горизонтальный</t>
  </si>
  <si>
    <t>https://kerong.ru/catalog/detail/kerong-kr-s99n-elektromagnitnyy-zamok/</t>
  </si>
  <si>
    <t>Полиамид</t>
  </si>
  <si>
    <t>https://aliexpress.ru/item/1005008873398488.html?sku_id=12000047048821846</t>
  </si>
  <si>
    <t>https://tokek.ru/catalog/petli/petli_potaynye/petlya_s_pruzhinoy_189/</t>
  </si>
  <si>
    <t>Аудиодинамик Your Cee Cavity Speaker 2831 2828</t>
  </si>
  <si>
    <t>Пырин</t>
  </si>
  <si>
    <t>Инлет настенный (Подсборки)</t>
  </si>
  <si>
    <t>Инлет настенный (Детали)</t>
  </si>
  <si>
    <t>Инлет настенный (Метизы)</t>
  </si>
  <si>
    <t>Обечайка подвижная (Детали)</t>
  </si>
  <si>
    <t>Рамка в сборе (Детали)</t>
  </si>
  <si>
    <t>Рамка в сборе (Подсборки)</t>
  </si>
  <si>
    <t>Рамка в сборе (Метизы)</t>
  </si>
  <si>
    <t>Рамка (Подсборки)</t>
  </si>
  <si>
    <t>Сенсор в сборе (Подсборки)</t>
  </si>
  <si>
    <t>Сенсор в сборе (Детали)</t>
  </si>
  <si>
    <t>Сенсор</t>
  </si>
  <si>
    <t>Дверца в сборе (Подсборки)</t>
  </si>
  <si>
    <t>Дверца в сборе (Детали)</t>
  </si>
  <si>
    <t>Дверца в сборе (Метизы)</t>
  </si>
  <si>
    <t>Дверца (Подсборки)</t>
  </si>
  <si>
    <t>Дверца (Детали)</t>
  </si>
  <si>
    <t>Замок в сборе (Подсборки)</t>
  </si>
  <si>
    <t>Замок в сборе (Метизы)</t>
  </si>
  <si>
    <t>Головная сборка</t>
  </si>
  <si>
    <t>Подвижная обечайка (Детали)</t>
  </si>
  <si>
    <t>Держатель крышки в сборе (Детали)</t>
  </si>
  <si>
    <t>Держатель замка в сборе (Детали)</t>
  </si>
  <si>
    <t>Держатель крышки в сборе (Метизы)</t>
  </si>
  <si>
    <t>Покупная позиция - резина с клейкой поверхностью (желательно, чтобы приходила нужного размера)</t>
  </si>
  <si>
    <t>Опора ленты вертикальной</t>
  </si>
  <si>
    <t>Опора ленты горизонтальной</t>
  </si>
  <si>
    <t>Оцинкованный</t>
  </si>
  <si>
    <t>https://krepcom.ru/catalog/vinty-razdel/vint-meb-ploskaya-gol-vnutr-sh-gr-m-5-kh-10-din-7420-ots.htm</t>
  </si>
  <si>
    <t>https://rubberfoam.ru/proizvodstvo/proizvodstvo-uplotniteley/</t>
  </si>
  <si>
    <t>Нержавеющая сталь, A2</t>
  </si>
  <si>
    <t>Цена единицы</t>
  </si>
  <si>
    <t>Стоимость</t>
  </si>
  <si>
    <t>Гайка приварная DIN 929 - М5 - St</t>
  </si>
  <si>
    <t>https://krepcom.ru/catalog/gayki-razdel/gayka_privarnaya_m5_din_929_nerzhaveyushchaya_stal_a2.htm</t>
  </si>
  <si>
    <t>Уплотнитель вертикальный</t>
  </si>
  <si>
    <t>Уплотнитель горизонтальный</t>
  </si>
  <si>
    <t>Винт резьбовыдавливающий DIN 7500 C-M3x10x0,45</t>
  </si>
  <si>
    <t>https://krepcom.ru/catalog/vinty-razdel/vint-3-kh10-samonarezayushchiy-din-7500-tip-m-tx-a2.htm</t>
  </si>
  <si>
    <t>Винт DIN 7420-M5x10-4.8</t>
  </si>
  <si>
    <t>Винт с потайной головкой DIN 965-M5x16</t>
  </si>
  <si>
    <t>https://krepcom.ru/catalog/vinty-razdel/vint-potay-pz-5-kh-16-krest-shlits-din-965-nerzh-a2.htm</t>
  </si>
  <si>
    <t>Сенсор+корпус от Пырина скрученные винтами со вставками впаяными</t>
  </si>
  <si>
    <t>Электромагнитный замок Kerong KR-S99N</t>
  </si>
  <si>
    <t>Винт с потайной головкой DIN 965-M5x12</t>
  </si>
  <si>
    <t>https://krepcom.ru/catalog/vinty-razdel/vint-potay-pz-5-kh-12-krest-shlits-din-965-nerzh-a2.htm</t>
  </si>
  <si>
    <t>Боссик</t>
  </si>
  <si>
    <t>Винт с шестигранной головкой DIN 912-M4x12</t>
  </si>
  <si>
    <t>https://krepcom.ru/catalog/vinty-razdel/bolt_imbus_4h12_nerj__DIN_912_stal_a2.htm</t>
  </si>
  <si>
    <t>PZ.0060.0014</t>
  </si>
  <si>
    <t>PZ.0060.0015</t>
  </si>
  <si>
    <t>PZ.0060.0020</t>
  </si>
  <si>
    <t>PZ.0060.0021</t>
  </si>
  <si>
    <t>PZ.0060.0024</t>
  </si>
  <si>
    <t>PZ.0060.0025</t>
  </si>
  <si>
    <t>PZ.0060.0031</t>
  </si>
  <si>
    <t>PZ.0060.0035</t>
  </si>
  <si>
    <t>PZ.0060.0050</t>
  </si>
  <si>
    <t>PZ.0060.0070</t>
  </si>
  <si>
    <t>PZ.0060.0071</t>
  </si>
  <si>
    <t>PZ.0060.0072</t>
  </si>
  <si>
    <t>PZ.0060.0073</t>
  </si>
  <si>
    <t>PZ.0060.0074</t>
  </si>
  <si>
    <t>PZ.0060.0085</t>
  </si>
  <si>
    <t>PZ.0060.0086</t>
  </si>
  <si>
    <t>PZ.0060.0087</t>
  </si>
  <si>
    <t>PZ.0060.0089</t>
  </si>
  <si>
    <t>PZ.0060.0090</t>
  </si>
  <si>
    <t>PZ.0060.0091</t>
  </si>
  <si>
    <t>PZ.0060.0092</t>
  </si>
  <si>
    <t>PZ.0060.0095</t>
  </si>
  <si>
    <t>PZ.0060.0096</t>
  </si>
  <si>
    <t>PZ.0060.0100</t>
  </si>
  <si>
    <t>PZ.0060.0105</t>
  </si>
  <si>
    <t>https://zavodbossik.ru/lenta-keramicheskaya-negoryuchaya-bossik-lk</t>
  </si>
  <si>
    <t>14x2 мм</t>
  </si>
  <si>
    <t>Тип</t>
  </si>
  <si>
    <t>Примечания</t>
  </si>
  <si>
    <t>Рамка (Детали)</t>
  </si>
  <si>
    <t>Лист рамки левый</t>
  </si>
  <si>
    <t>Лист рамки правый</t>
  </si>
  <si>
    <t>PZ.0060.0005</t>
  </si>
  <si>
    <t>Инлет настенный c дверцей</t>
  </si>
  <si>
    <t>Инлет настенный c дверцей (подсборки)</t>
  </si>
  <si>
    <t>Инлет настенный c дверцей (детали)</t>
  </si>
  <si>
    <t>Инлет настенный (Прочие изделия)</t>
  </si>
  <si>
    <t>Шайба регулировочная 11x14x0.5мм A2</t>
  </si>
  <si>
    <t>https://www.wildberries.ru/catalog/1252211657/detail.aspx</t>
  </si>
  <si>
    <t>https://uplshop.ru/catalog/detail/profil-d9kh7-5mm-chyernyy-korichnevyy-seryy-belyy-100m-p/</t>
  </si>
  <si>
    <t>Профиль D9х7,5мм чёрный, коричневый, серый, белый 100м.п.</t>
  </si>
  <si>
    <t>PZ.0060.0033</t>
  </si>
  <si>
    <t>PZ.0060.0036</t>
  </si>
  <si>
    <t>PZ.0060.0037</t>
  </si>
  <si>
    <t>PZ.0060.0038</t>
  </si>
  <si>
    <t>Плата сенсора fl-puzer-btn</t>
  </si>
  <si>
    <t>Разъем GX12 2pin - розетка</t>
  </si>
  <si>
    <t>Фитинг герметичный CGS-PG13 - нейлон 6 черный - резьба PG13</t>
  </si>
  <si>
    <t>Стегура</t>
  </si>
  <si>
    <t>Гайка вставка М3Х5.7-OD4.6</t>
  </si>
  <si>
    <t>Крепление для платы</t>
  </si>
  <si>
    <t>Стекло сенсора</t>
  </si>
  <si>
    <t>Винт с потайной головкой с шестигранным углублением DIN 7991 M3x10x0,45 А2</t>
  </si>
  <si>
    <t>PZ.0060.0001-0002</t>
  </si>
  <si>
    <t>PZ.0060.0002-0002</t>
  </si>
  <si>
    <t>PZ.0060.0003-0002</t>
  </si>
  <si>
    <t>PZ.0060.0010-0002</t>
  </si>
  <si>
    <t>PZ.0060.0011-0002</t>
  </si>
  <si>
    <t>PZ.0060.0012-0002</t>
  </si>
  <si>
    <t>PZ.0060.0016-0002</t>
  </si>
  <si>
    <t>PZ.0060.0022-0002</t>
  </si>
  <si>
    <t>PZ.0060.0023-0002</t>
  </si>
  <si>
    <t>PZ.0060.0030-0002</t>
  </si>
  <si>
    <t>PZ.0060.0045-0002</t>
  </si>
  <si>
    <t>PZ.0060.0065-0002</t>
  </si>
  <si>
    <t>PZ.0060.0088-0002</t>
  </si>
  <si>
    <t>Замок в сборе (Детали)</t>
  </si>
  <si>
    <t>Винт DIN 965 M5x80-А2</t>
  </si>
  <si>
    <t>https://1001krep.ru/vint-din-965-m5x80-nerzh-a2-artikul-93009</t>
  </si>
  <si>
    <t>Гайка c фланцем и насечкой DIN 6923-M5-A2</t>
  </si>
  <si>
    <t>https://krepcom.ru/catalog/gayki-razdel/gayka_m5_sh_gr_s_flantsem__DIN_6923_A2_s_zazubrinami.htm</t>
  </si>
  <si>
    <t>Гайка c фланцем и насечкой DIN 6923-M3-A2</t>
  </si>
  <si>
    <t>https://krepcom.ru/catalog/gayki-razdel/gayka_s_flantsem_i_nasechkoy_m3_din_6923_nerzh_stal_a2.htm</t>
  </si>
  <si>
    <t>Петля с пружиной 189-10</t>
  </si>
  <si>
    <t>НАСЛЕДОВАНИЕ (БЛОК ОБНОВЛЕНИЙ ОТСЮДА)</t>
  </si>
  <si>
    <t>PZ.0060.0094-0002</t>
  </si>
  <si>
    <t>PZ.0060.0080-0002</t>
  </si>
  <si>
    <t>PZ.0060.0093</t>
  </si>
  <si>
    <t>Лист упорный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</si>
</sst>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₽&quot;"/>
  </numFmts>
  <fonts count="10" x14ac:knownFonts="1">
    <font>
      <sz val="11"/>
      <color theme="1"/>
      <name val="Calibri"/>
      <family val="2"/>
      <scheme val="minor"/>
    </font>
    <font>
      <b/>
      <sz val="10"/>
      <color theme="1"/>
      <name val="Cascadia Code"/>
      <family val="3"/>
      <charset val="204"/>
    </font>
    <font>
      <sz val="10"/>
      <color theme="1"/>
      <name val="Cascadia Code"/>
      <family val="3"/>
      <charset val="204"/>
    </font>
    <font>
      <sz val="8"/>
      <name val="Arial"/>
      <family val="2"/>
    </font>
    <font>
      <b/>
      <i/>
      <sz val="11"/>
      <name val="Arial"/>
      <family val="2"/>
    </font>
    <font>
      <b/>
      <i/>
      <sz val="10"/>
      <name val="Arial"/>
      <family val="2"/>
    </font>
    <font>
      <i/>
      <sz val="11"/>
      <name val="Arial"/>
      <family val="2"/>
    </font>
    <font>
      <sz val="11"/>
      <name val="Arial"/>
      <family val="2"/>
    </font>
    <font>
      <sz val="9"/>
      <name val="Arial"/>
      <family val="2"/>
    </font>
    <font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9" fillId="0" borderId="0" applyNumberFormat="0" applyFill="0" applyBorder="0" applyAlignment="0" applyProtection="0"/>
  </cellStyleXfs>
  <cellXfs count="114">
    <xf numFmtId="0" fontId="0" fillId="0" borderId="0" xfId="0"/>
    <xf numFmtId="49" fontId="2" fillId="0" borderId="0" xfId="0" applyNumberFormat="1" applyFont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Continuous" vertical="center" wrapText="1"/>
    </xf>
    <xf numFmtId="0" fontId="2" fillId="2" borderId="1" xfId="0" applyNumberFormat="1" applyFont="1" applyFill="1" applyBorder="1" applyAlignment="1">
      <alignment horizontal="centerContinuous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3" fillId="0" borderId="0" xfId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14" fontId="7" fillId="0" borderId="7" xfId="1" applyNumberFormat="1" applyFont="1" applyBorder="1" applyAlignment="1">
      <alignment horizontal="center" vertical="center"/>
    </xf>
    <xf numFmtId="0" fontId="7" fillId="0" borderId="7" xfId="1" applyNumberFormat="1" applyFont="1" applyBorder="1" applyAlignment="1">
      <alignment horizontal="center"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2" xfId="1" applyNumberFormat="1" applyFont="1" applyBorder="1" applyAlignment="1">
      <alignment horizontal="center" vertical="center"/>
    </xf>
    <xf numFmtId="49" fontId="3" fillId="2" borderId="1" xfId="1" applyNumberFormat="1" applyFill="1" applyBorder="1" applyAlignment="1">
      <alignment horizontal="center" vertical="center"/>
    </xf>
    <xf numFmtId="49" fontId="3" fillId="0" borderId="1" xfId="1" applyNumberFormat="1" applyBorder="1" applyAlignment="1">
      <alignment horizontal="center" vertical="center"/>
    </xf>
    <xf numFmtId="0" fontId="4" fillId="0" borderId="3" xfId="1" applyNumberFormat="1" applyFont="1" applyBorder="1" applyAlignment="1">
      <alignment horizontal="center" vertical="center" wrapText="1"/>
    </xf>
    <xf numFmtId="0" fontId="5" fillId="0" borderId="13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Continuous" vertical="center" wrapText="1"/>
    </xf>
    <xf numFmtId="0" fontId="2" fillId="4" borderId="1" xfId="0" applyNumberFormat="1" applyFont="1" applyFill="1" applyBorder="1" applyAlignment="1">
      <alignment horizontal="centerContinuous" vertical="center" wrapText="1"/>
    </xf>
    <xf numFmtId="49" fontId="2" fillId="5" borderId="1" xfId="0" applyNumberFormat="1" applyFont="1" applyFill="1" applyBorder="1" applyAlignment="1">
      <alignment horizontal="centerContinuous" vertical="center" wrapText="1"/>
    </xf>
    <xf numFmtId="0" fontId="2" fillId="5" borderId="1" xfId="0" applyNumberFormat="1" applyFont="1" applyFill="1" applyBorder="1" applyAlignment="1">
      <alignment horizontal="centerContinuous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49" fontId="2" fillId="8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Continuous" vertical="center" wrapText="1"/>
    </xf>
    <xf numFmtId="0" fontId="2" fillId="3" borderId="1" xfId="0" applyNumberFormat="1" applyFont="1" applyFill="1" applyBorder="1" applyAlignment="1">
      <alignment horizontal="centerContinuous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centerContinuous" vertical="center" wrapText="1"/>
    </xf>
    <xf numFmtId="0" fontId="2" fillId="9" borderId="1" xfId="0" applyNumberFormat="1" applyFont="1" applyFill="1" applyBorder="1" applyAlignment="1">
      <alignment horizontal="centerContinuous" vertical="center" wrapText="1"/>
    </xf>
    <xf numFmtId="49" fontId="2" fillId="10" borderId="1" xfId="0" applyNumberFormat="1" applyFont="1" applyFill="1" applyBorder="1" applyAlignment="1">
      <alignment horizontal="centerContinuous" vertical="center" wrapText="1"/>
    </xf>
    <xf numFmtId="0" fontId="2" fillId="10" borderId="1" xfId="0" applyNumberFormat="1" applyFont="1" applyFill="1" applyBorder="1" applyAlignment="1">
      <alignment horizontal="centerContinuous" vertical="center" wrapText="1"/>
    </xf>
    <xf numFmtId="49" fontId="3" fillId="7" borderId="1" xfId="1" applyNumberFormat="1" applyFill="1" applyBorder="1" applyAlignment="1">
      <alignment horizontal="center" vertical="center"/>
    </xf>
    <xf numFmtId="0" fontId="3" fillId="7" borderId="1" xfId="1" applyFill="1" applyBorder="1" applyAlignment="1">
      <alignment horizontal="center" vertical="center"/>
    </xf>
    <xf numFmtId="0" fontId="6" fillId="7" borderId="5" xfId="1" applyNumberFormat="1" applyFont="1" applyFill="1" applyBorder="1" applyAlignment="1">
      <alignment horizontal="center" vertical="center" wrapText="1"/>
    </xf>
    <xf numFmtId="0" fontId="2" fillId="12" borderId="1" xfId="0" applyNumberFormat="1" applyFont="1" applyFill="1" applyBorder="1" applyAlignment="1">
      <alignment horizontal="centerContinuous" vertical="center" wrapText="1"/>
    </xf>
    <xf numFmtId="49" fontId="2" fillId="12" borderId="1" xfId="0" applyNumberFormat="1" applyFont="1" applyFill="1" applyBorder="1" applyAlignment="1">
      <alignment horizontal="centerContinuous" vertical="center" wrapText="1"/>
    </xf>
    <xf numFmtId="49" fontId="3" fillId="7" borderId="1" xfId="1" applyNumberForma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11" borderId="1" xfId="0" applyNumberFormat="1" applyFont="1" applyFill="1" applyBorder="1" applyAlignment="1">
      <alignment horizontal="center" vertical="center" wrapText="1"/>
    </xf>
    <xf numFmtId="0" fontId="2" fillId="11" borderId="1" xfId="0" applyNumberFormat="1" applyFont="1" applyFill="1" applyBorder="1" applyAlignment="1">
      <alignment horizontal="centerContinuous" vertical="center" wrapText="1"/>
    </xf>
    <xf numFmtId="49" fontId="2" fillId="11" borderId="1" xfId="0" applyNumberFormat="1" applyFont="1" applyFill="1" applyBorder="1" applyAlignment="1">
      <alignment horizontal="centerContinuous" vertical="center" wrapText="1"/>
    </xf>
    <xf numFmtId="49" fontId="3" fillId="0" borderId="1" xfId="1" applyNumberFormat="1" applyBorder="1" applyAlignment="1">
      <alignment horizontal="left" vertical="center" wrapText="1"/>
    </xf>
    <xf numFmtId="49" fontId="3" fillId="7" borderId="1" xfId="1" applyNumberFormat="1" applyFill="1" applyBorder="1" applyAlignment="1">
      <alignment horizontal="center" vertical="center" wrapText="1"/>
    </xf>
    <xf numFmtId="0" fontId="3" fillId="7" borderId="1" xfId="1" applyFill="1" applyBorder="1" applyAlignment="1">
      <alignment horizontal="left" vertical="center" wrapText="1"/>
    </xf>
    <xf numFmtId="0" fontId="3" fillId="7" borderId="1" xfId="1" applyFill="1" applyBorder="1" applyAlignment="1">
      <alignment horizontal="center" vertical="center" wrapText="1"/>
    </xf>
    <xf numFmtId="49" fontId="3" fillId="0" borderId="1" xfId="1" applyNumberFormat="1" applyFill="1" applyBorder="1" applyAlignment="1">
      <alignment horizontal="center" vertical="center" wrapText="1"/>
    </xf>
    <xf numFmtId="0" fontId="3" fillId="7" borderId="1" xfId="1" applyNumberFormat="1" applyFill="1" applyBorder="1" applyAlignment="1">
      <alignment horizontal="center" vertical="center" wrapText="1"/>
    </xf>
    <xf numFmtId="0" fontId="3" fillId="0" borderId="1" xfId="1" applyFill="1" applyBorder="1" applyAlignment="1">
      <alignment horizontal="center" vertical="center" wrapText="1"/>
    </xf>
    <xf numFmtId="0" fontId="3" fillId="0" borderId="1" xfId="1" applyFill="1" applyBorder="1" applyAlignment="1">
      <alignment horizontal="left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0" fontId="6" fillId="2" borderId="1" xfId="1" applyNumberFormat="1" applyFont="1" applyFill="1" applyBorder="1" applyAlignment="1">
      <alignment horizontal="centerContinuous" vertical="center"/>
    </xf>
    <xf numFmtId="0" fontId="7" fillId="2" borderId="1" xfId="1" applyNumberFormat="1" applyFont="1" applyFill="1" applyBorder="1" applyAlignment="1">
      <alignment horizontal="centerContinuous" vertical="center" wrapText="1"/>
    </xf>
    <xf numFmtId="0" fontId="6" fillId="0" borderId="17" xfId="1" applyNumberFormat="1" applyFont="1" applyBorder="1" applyAlignment="1">
      <alignment horizontal="center" vertical="center" wrapText="1"/>
    </xf>
    <xf numFmtId="0" fontId="6" fillId="0" borderId="15" xfId="1" applyNumberFormat="1" applyFont="1" applyBorder="1" applyAlignment="1">
      <alignment horizontal="center" vertical="center"/>
    </xf>
    <xf numFmtId="0" fontId="7" fillId="0" borderId="15" xfId="1" applyNumberFormat="1" applyFont="1" applyBorder="1" applyAlignment="1">
      <alignment horizontal="center" vertical="center" textRotation="90" wrapText="1"/>
    </xf>
    <xf numFmtId="0" fontId="6" fillId="0" borderId="18" xfId="1" applyNumberFormat="1" applyFont="1" applyBorder="1" applyAlignment="1">
      <alignment horizontal="center" vertical="center"/>
    </xf>
    <xf numFmtId="49" fontId="3" fillId="0" borderId="1" xfId="1" applyNumberFormat="1" applyFill="1" applyBorder="1" applyAlignment="1">
      <alignment horizontal="left" vertical="center" wrapText="1"/>
    </xf>
    <xf numFmtId="0" fontId="7" fillId="0" borderId="2" xfId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7" fillId="0" borderId="19" xfId="1" applyFont="1" applyBorder="1" applyAlignment="1">
      <alignment horizontal="center" vertical="center"/>
    </xf>
    <xf numFmtId="0" fontId="4" fillId="0" borderId="20" xfId="1" applyNumberFormat="1" applyFont="1" applyBorder="1" applyAlignment="1">
      <alignment horizontal="center" vertical="center"/>
    </xf>
    <xf numFmtId="0" fontId="4" fillId="0" borderId="19" xfId="1" applyNumberFormat="1" applyFont="1" applyBorder="1" applyAlignment="1">
      <alignment horizontal="center" vertical="center"/>
    </xf>
    <xf numFmtId="0" fontId="4" fillId="0" borderId="14" xfId="1" applyNumberFormat="1" applyFont="1" applyBorder="1" applyAlignment="1">
      <alignment horizontal="center" vertical="center"/>
    </xf>
    <xf numFmtId="49" fontId="3" fillId="2" borderId="5" xfId="1" applyNumberFormat="1" applyFill="1" applyBorder="1" applyAlignment="1">
      <alignment horizontal="centerContinuous" vertical="center" wrapText="1"/>
    </xf>
    <xf numFmtId="49" fontId="2" fillId="8" borderId="1" xfId="0" applyNumberFormat="1" applyFont="1" applyFill="1" applyBorder="1" applyAlignment="1">
      <alignment horizontal="centerContinuous" vertical="center" wrapText="1"/>
    </xf>
    <xf numFmtId="0" fontId="5" fillId="0" borderId="3" xfId="1" applyFont="1" applyBorder="1" applyAlignment="1">
      <alignment horizontal="center" vertical="center"/>
    </xf>
    <xf numFmtId="0" fontId="6" fillId="0" borderId="12" xfId="1" applyFont="1" applyBorder="1" applyAlignment="1">
      <alignment horizontal="center" vertical="center"/>
    </xf>
    <xf numFmtId="164" fontId="3" fillId="0" borderId="5" xfId="1" applyNumberFormat="1" applyBorder="1" applyAlignment="1">
      <alignment horizontal="center" vertical="center"/>
    </xf>
    <xf numFmtId="164" fontId="3" fillId="0" borderId="7" xfId="1" applyNumberFormat="1" applyBorder="1" applyAlignment="1">
      <alignment horizontal="center" vertical="center"/>
    </xf>
    <xf numFmtId="164" fontId="3" fillId="7" borderId="7" xfId="1" applyNumberFormat="1" applyFill="1" applyBorder="1" applyAlignment="1">
      <alignment horizontal="center" vertical="center"/>
    </xf>
    <xf numFmtId="0" fontId="3" fillId="2" borderId="1" xfId="1" applyFill="1" applyBorder="1" applyAlignment="1">
      <alignment horizontal="centerContinuous" vertical="center"/>
    </xf>
    <xf numFmtId="164" fontId="3" fillId="2" borderId="7" xfId="1" applyNumberFormat="1" applyFill="1" applyBorder="1" applyAlignment="1">
      <alignment horizontal="centerContinuous" vertical="center"/>
    </xf>
    <xf numFmtId="0" fontId="6" fillId="2" borderId="15" xfId="1" applyNumberFormat="1" applyFont="1" applyFill="1" applyBorder="1" applyAlignment="1">
      <alignment horizontal="centerContinuous" vertical="center"/>
    </xf>
    <xf numFmtId="0" fontId="7" fillId="2" borderId="15" xfId="1" applyNumberFormat="1" applyFont="1" applyFill="1" applyBorder="1" applyAlignment="1">
      <alignment horizontal="centerContinuous" vertical="center" wrapText="1"/>
    </xf>
    <xf numFmtId="0" fontId="3" fillId="2" borderId="15" xfId="1" applyFill="1" applyBorder="1" applyAlignment="1">
      <alignment horizontal="centerContinuous" vertical="center"/>
    </xf>
    <xf numFmtId="164" fontId="3" fillId="2" borderId="17" xfId="1" applyNumberFormat="1" applyFill="1" applyBorder="1" applyAlignment="1">
      <alignment horizontal="centerContinuous" vertical="center"/>
    </xf>
    <xf numFmtId="164" fontId="3" fillId="0" borderId="1" xfId="1" applyNumberFormat="1" applyBorder="1" applyAlignment="1">
      <alignment horizontal="center" vertical="center"/>
    </xf>
    <xf numFmtId="164" fontId="3" fillId="2" borderId="1" xfId="1" applyNumberFormat="1" applyFill="1" applyBorder="1" applyAlignment="1">
      <alignment horizontal="centerContinuous" vertical="center"/>
    </xf>
    <xf numFmtId="0" fontId="9" fillId="7" borderId="1" xfId="2" applyFill="1" applyBorder="1" applyAlignment="1">
      <alignment horizontal="center" vertical="center" wrapText="1"/>
    </xf>
    <xf numFmtId="164" fontId="3" fillId="7" borderId="1" xfId="1" applyNumberFormat="1" applyFill="1" applyBorder="1" applyAlignment="1">
      <alignment horizontal="center" vertical="center"/>
    </xf>
    <xf numFmtId="49" fontId="9" fillId="7" borderId="1" xfId="2" applyNumberFormat="1" applyFill="1" applyBorder="1" applyAlignment="1">
      <alignment horizontal="center" vertical="center" wrapText="1"/>
    </xf>
    <xf numFmtId="0" fontId="6" fillId="2" borderId="18" xfId="1" applyNumberFormat="1" applyFont="1" applyFill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6" fillId="2" borderId="1" xfId="1" applyNumberFormat="1" applyFont="1" applyFill="1" applyBorder="1" applyAlignment="1">
      <alignment horizontal="center" vertical="center" wrapText="1"/>
    </xf>
    <xf numFmtId="49" fontId="9" fillId="0" borderId="1" xfId="2" applyNumberFormat="1" applyBorder="1" applyAlignment="1">
      <alignment horizontal="left" vertical="center" wrapText="1"/>
    </xf>
    <xf numFmtId="49" fontId="9" fillId="7" borderId="1" xfId="2" applyNumberFormat="1" applyFill="1" applyBorder="1" applyAlignment="1">
      <alignment horizontal="left" vertical="center" wrapText="1"/>
    </xf>
    <xf numFmtId="0" fontId="9" fillId="7" borderId="1" xfId="2" applyFill="1" applyBorder="1" applyAlignment="1">
      <alignment horizontal="left" vertical="center" wrapText="1"/>
    </xf>
    <xf numFmtId="0" fontId="4" fillId="0" borderId="14" xfId="1" applyNumberFormat="1" applyFont="1" applyBorder="1" applyAlignment="1">
      <alignment horizontal="center" vertical="center" wrapText="1"/>
    </xf>
    <xf numFmtId="14" fontId="7" fillId="0" borderId="7" xfId="1" applyNumberFormat="1" applyFont="1" applyBorder="1" applyAlignment="1">
      <alignment horizontal="center" vertical="center" wrapText="1"/>
    </xf>
    <xf numFmtId="0" fontId="7" fillId="0" borderId="7" xfId="1" applyNumberFormat="1" applyFont="1" applyBorder="1" applyAlignment="1">
      <alignment horizontal="center" vertical="center" wrapText="1"/>
    </xf>
    <xf numFmtId="0" fontId="7" fillId="0" borderId="12" xfId="1" applyNumberFormat="1" applyFont="1" applyBorder="1" applyAlignment="1">
      <alignment horizontal="center" vertical="center" wrapText="1"/>
    </xf>
    <xf numFmtId="0" fontId="6" fillId="13" borderId="5" xfId="1" applyNumberFormat="1" applyFont="1" applyFill="1" applyBorder="1" applyAlignment="1">
      <alignment horizontal="center" vertical="center" wrapText="1"/>
    </xf>
    <xf numFmtId="0" fontId="3" fillId="13" borderId="1" xfId="1" applyFill="1" applyBorder="1" applyAlignment="1">
      <alignment horizontal="center" vertical="center" wrapText="1"/>
    </xf>
    <xf numFmtId="0" fontId="3" fillId="13" borderId="1" xfId="1" applyFill="1" applyBorder="1" applyAlignment="1">
      <alignment horizontal="left" vertical="center" wrapText="1"/>
    </xf>
    <xf numFmtId="0" fontId="3" fillId="13" borderId="1" xfId="1" applyFill="1" applyBorder="1" applyAlignment="1">
      <alignment horizontal="center" vertical="center"/>
    </xf>
    <xf numFmtId="49" fontId="3" fillId="13" borderId="1" xfId="1" applyNumberFormat="1" applyFill="1" applyBorder="1" applyAlignment="1">
      <alignment horizontal="center" vertical="center"/>
    </xf>
    <xf numFmtId="0" fontId="6" fillId="13" borderId="1" xfId="1" applyFont="1" applyFill="1" applyBorder="1" applyAlignment="1">
      <alignment horizontal="center" vertical="center" wrapText="1"/>
    </xf>
    <xf numFmtId="164" fontId="3" fillId="13" borderId="1" xfId="1" applyNumberFormat="1" applyFill="1" applyBorder="1" applyAlignment="1">
      <alignment horizontal="center" vertical="center"/>
    </xf>
    <xf numFmtId="164" fontId="3" fillId="13" borderId="7" xfId="1" applyNumberFormat="1" applyFill="1" applyBorder="1" applyAlignment="1">
      <alignment horizontal="center" vertical="center"/>
    </xf>
    <xf numFmtId="49" fontId="9" fillId="0" borderId="1" xfId="2" applyNumberFormat="1" applyFill="1" applyBorder="1" applyAlignment="1">
      <alignment horizontal="left" vertical="center"/>
    </xf>
    <xf numFmtId="164" fontId="0" fillId="0" borderId="1" xfId="0" applyNumberFormat="1" applyFill="1" applyBorder="1" applyAlignment="1">
      <alignment horizontal="center" vertical="center"/>
    </xf>
    <xf numFmtId="0" fontId="9" fillId="0" borderId="1" xfId="2" applyFill="1" applyBorder="1" applyAlignment="1">
      <alignment horizontal="left" vertical="center"/>
    </xf>
    <xf numFmtId="0" fontId="4" fillId="0" borderId="13" xfId="1" applyNumberFormat="1" applyFont="1" applyBorder="1" applyAlignment="1">
      <alignment horizontal="center" vertical="center" wrapText="1"/>
    </xf>
    <xf numFmtId="0" fontId="8" fillId="0" borderId="1" xfId="1" applyNumberFormat="1" applyFont="1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580BD893-45C5-4F6D-B47D-6B50916BF020}"/>
  </cellStyles>
  <dxfs count="0"/>
  <tableStyles count="0" defaultTableStyle="TableStyleMedium2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krepcom.ru/catalog/gayki-razdel/gayka_privarnaya_m5_din_929_nerzhaveyushchaya_stal_a2.htm" TargetMode="External"/><Relationship Id="rId13" Type="http://schemas.openxmlformats.org/officeDocument/2006/relationships/hyperlink" Target="https://krepcom.ru/catalog/shayby/shayba_regulirovochnaya_5kh10kh0_5_mm_din_988.htm" TargetMode="External"/><Relationship Id="rId18" Type="http://schemas.openxmlformats.org/officeDocument/2006/relationships/hyperlink" Target="https://1001krep.ru/vint-din-965-m5x80-nerzh-a2-artikul-93009" TargetMode="External"/><Relationship Id="rId3" Type="http://schemas.openxmlformats.org/officeDocument/2006/relationships/hyperlink" Target="https://rubberfoam.ru/proizvodstvo/proizvodstvo-uplotniteley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aliexpress.ru/item/1005008873398488.html?sku_id=12000047048821846" TargetMode="External"/><Relationship Id="rId12" Type="http://schemas.openxmlformats.org/officeDocument/2006/relationships/hyperlink" Target="https://www.pkf-konros.ru/catalog/bobyshki/bobyshka-pryamaya-bp04/bp04-g3-4-st-08h18n10-nerzh-stal/" TargetMode="External"/><Relationship Id="rId17" Type="http://schemas.openxmlformats.org/officeDocument/2006/relationships/hyperlink" Target="https://krepcom.ru/catalog/vinty-razdel/vint-3-kh10-samonarezayushchiy-din-7500-tip-m-tx-a2.htm" TargetMode="External"/><Relationship Id="rId2" Type="http://schemas.openxmlformats.org/officeDocument/2006/relationships/hyperlink" Target="https://tokek.ru/catalog/petli/petli_potaynye/petlya_s_pruzhinoy_189/" TargetMode="External"/><Relationship Id="rId16" Type="http://schemas.openxmlformats.org/officeDocument/2006/relationships/hyperlink" Target="https://www.wildberries.ru/catalog/1252211657/detail.aspx" TargetMode="External"/><Relationship Id="rId20" Type="http://schemas.openxmlformats.org/officeDocument/2006/relationships/hyperlink" Target="https://krepcom.ru/catalog/vinty-razdel/vint-3-kh10-samonarezayushchiy-din-7500-tip-m-tx-a2.htm" TargetMode="External"/><Relationship Id="rId1" Type="http://schemas.openxmlformats.org/officeDocument/2006/relationships/hyperlink" Target="https://kerong.ru/catalog/detail/kerong-kr-s99n-elektromagnitnyy-zamok/" TargetMode="External"/><Relationship Id="rId6" Type="http://schemas.openxmlformats.org/officeDocument/2006/relationships/hyperlink" Target="https://krepcom.ru/catalog/vinty-razdel/vint-potay-pz-5-kh-16-krest-shlits-din-965-nerzh-a2.htm" TargetMode="External"/><Relationship Id="rId11" Type="http://schemas.openxmlformats.org/officeDocument/2006/relationships/hyperlink" Target="https://zavodbossik.ru/lenta-keramicheskaya-negoryuchaya-bossik-lk" TargetMode="External"/><Relationship Id="rId5" Type="http://schemas.openxmlformats.org/officeDocument/2006/relationships/hyperlink" Target="https://krepcom.ru/catalog/vinty-razdel/vint-meb-ploskaya-gol-vnutr-sh-gr-m-5-kh-10-din-7420-ots.htm" TargetMode="External"/><Relationship Id="rId15" Type="http://schemas.openxmlformats.org/officeDocument/2006/relationships/hyperlink" Target="https://krepcom.ru/catalog/bolty-razdel/bolt_s_flantsem_m5kh12_din_6921_nerzhaveyushchaya_stal_a4.htm" TargetMode="External"/><Relationship Id="rId10" Type="http://schemas.openxmlformats.org/officeDocument/2006/relationships/hyperlink" Target="https://zavodbossik.ru/lenta-keramicheskaya-negoryuchaya-bossik-lk" TargetMode="External"/><Relationship Id="rId19" Type="http://schemas.openxmlformats.org/officeDocument/2006/relationships/hyperlink" Target="https://krepcom.ru/catalog/gayki-razdel/gayka_m5_sh_gr_s_flantsem__DIN_6923_A2_s_zazubrinami.htm" TargetMode="External"/><Relationship Id="rId4" Type="http://schemas.openxmlformats.org/officeDocument/2006/relationships/hyperlink" Target="https://krepcom.ru/catalog/vinty-razdel/vint-3-kh10-samonarezayushchiy-din-7500-tip-m-tx-a2.htm" TargetMode="External"/><Relationship Id="rId9" Type="http://schemas.openxmlformats.org/officeDocument/2006/relationships/hyperlink" Target="https://krepcom.ru/catalog/vinty-razdel/vint-potay-pz-5-kh-12-krest-shlits-din-965-nerzh-a2.htm" TargetMode="External"/><Relationship Id="rId14" Type="http://schemas.openxmlformats.org/officeDocument/2006/relationships/hyperlink" Target="https://krepcom.ru/catalog/gayki-razdel/gayka_sh_gr_s_flantsem_DIN_6923_A2_s_zazubrinami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6"/>
  <sheetViews>
    <sheetView tabSelected="1" topLeftCell="A23" zoomScale="85" zoomScaleNormal="85" workbookViewId="0">
      <selection activeCell="U56" sqref="U56"/>
    </sheetView>
  </sheetViews>
  <sheetFormatPr defaultRowHeight="14.25" x14ac:dyDescent="0.25"/>
  <cols>
    <col min="1" max="1" width="52.5703125" style="1" customWidth="1"/>
    <col min="2" max="3" width="30.7109375" style="1" customWidth="1"/>
    <col min="4" max="17" width="15.7109375" style="1" customWidth="1"/>
    <col min="18" max="18" width="20.7109375" style="1" customWidth="1"/>
    <col min="19" max="19" width="9.140625" style="1"/>
    <col min="20" max="20" width="19.28515625" style="1" customWidth="1"/>
    <col min="21" max="16384" width="9.140625" style="1"/>
  </cols>
  <sheetData>
    <row r="1" spans="1:18" ht="28.5" x14ac:dyDescent="0.25">
      <c r="A1" s="4" t="s">
        <v>25</v>
      </c>
      <c r="B1" s="4" t="s">
        <v>11</v>
      </c>
      <c r="C1" s="4" t="s">
        <v>12</v>
      </c>
      <c r="D1" s="4" t="s">
        <v>14</v>
      </c>
      <c r="E1" s="4" t="s">
        <v>27</v>
      </c>
      <c r="F1" s="4" t="s">
        <v>0</v>
      </c>
      <c r="G1" s="4" t="s">
        <v>13</v>
      </c>
      <c r="H1" s="4" t="s">
        <v>1</v>
      </c>
      <c r="I1" s="4" t="s">
        <v>7</v>
      </c>
      <c r="J1" s="4" t="s">
        <v>2</v>
      </c>
      <c r="K1" s="4" t="s">
        <v>8</v>
      </c>
      <c r="L1" s="4" t="s">
        <v>3</v>
      </c>
      <c r="M1" s="4" t="s">
        <v>9</v>
      </c>
      <c r="N1" s="4" t="s">
        <v>4</v>
      </c>
      <c r="O1" s="4" t="s">
        <v>10</v>
      </c>
      <c r="P1" s="4" t="s">
        <v>5</v>
      </c>
      <c r="Q1" s="4" t="s">
        <v>26</v>
      </c>
      <c r="R1" s="4" t="s">
        <v>6</v>
      </c>
    </row>
    <row r="2" spans="1:18" x14ac:dyDescent="0.25">
      <c r="A2" s="44" t="s">
        <v>103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</row>
    <row r="3" spans="1:18" ht="28.5" x14ac:dyDescent="0.25">
      <c r="A3" s="8" t="str">
        <f t="shared" ref="A3" si="0">(IF((E3 = "Пр-во"), (B3 &amp; " - " &amp; C3), C3)) &amp; IF(D3="Сборка", ".iam", ".ipt")</f>
        <v>PZ.0060.0001-0002 - Инлет настенный c дверцей.iam</v>
      </c>
      <c r="B3" s="2" t="str">
        <f>'КВ (установка)'!B5</f>
        <v>PZ.0060.0001-0002</v>
      </c>
      <c r="C3" s="47" t="str">
        <f>'КВ (установка)'!C5</f>
        <v>Инлет настенный c дверцей</v>
      </c>
      <c r="D3" s="2" t="s">
        <v>16</v>
      </c>
      <c r="E3" s="2" t="s">
        <v>17</v>
      </c>
      <c r="F3" s="2" t="s">
        <v>20</v>
      </c>
      <c r="G3" s="11">
        <v>46310</v>
      </c>
      <c r="H3" s="2" t="s">
        <v>21</v>
      </c>
      <c r="I3" s="11">
        <v>46310</v>
      </c>
      <c r="J3" s="2" t="s">
        <v>19</v>
      </c>
      <c r="K3" s="2" t="s">
        <v>19</v>
      </c>
      <c r="L3" s="2" t="s">
        <v>21</v>
      </c>
      <c r="M3" s="11">
        <v>46310</v>
      </c>
      <c r="N3" s="2" t="s">
        <v>21</v>
      </c>
      <c r="O3" s="11">
        <v>46310</v>
      </c>
      <c r="P3" s="2" t="s">
        <v>76</v>
      </c>
      <c r="Q3" s="11">
        <v>46310</v>
      </c>
      <c r="R3" s="2" t="s">
        <v>29</v>
      </c>
    </row>
    <row r="4" spans="1:18" x14ac:dyDescent="0.25">
      <c r="A4" s="8" t="str">
        <f>(IF((E4 = "Пр-во"), (B4 &amp; " - " &amp; C4), C4)) &amp; IF(D4="Сборка", ".iam", ".ipt")</f>
        <v>PZ.0060.0002-0002 - Инлет настенный.iam</v>
      </c>
      <c r="B4" s="2" t="str">
        <f>'КВ (установка)'!B7</f>
        <v>PZ.0060.0002-0002</v>
      </c>
      <c r="C4" s="47" t="str">
        <f>'КВ (установка)'!C7</f>
        <v>Инлет настенный</v>
      </c>
      <c r="D4" s="2" t="s">
        <v>16</v>
      </c>
      <c r="E4" s="2" t="s">
        <v>17</v>
      </c>
      <c r="F4" s="2" t="s">
        <v>20</v>
      </c>
      <c r="G4" s="11">
        <v>46310</v>
      </c>
      <c r="H4" s="2" t="s">
        <v>21</v>
      </c>
      <c r="I4" s="11">
        <v>46310</v>
      </c>
      <c r="J4" s="2" t="s">
        <v>19</v>
      </c>
      <c r="K4" s="2" t="s">
        <v>19</v>
      </c>
      <c r="L4" s="2" t="s">
        <v>21</v>
      </c>
      <c r="M4" s="11">
        <v>46310</v>
      </c>
      <c r="N4" s="2" t="s">
        <v>21</v>
      </c>
      <c r="O4" s="11">
        <v>46310</v>
      </c>
      <c r="P4" s="2" t="s">
        <v>76</v>
      </c>
      <c r="Q4" s="11">
        <v>46310</v>
      </c>
      <c r="R4" s="2" t="s">
        <v>29</v>
      </c>
    </row>
    <row r="5" spans="1:18" x14ac:dyDescent="0.25">
      <c r="A5" s="8" t="str">
        <f>(IF((E5 = "Пр-во"), (B5 &amp; " - " &amp; C5), C5)) &amp; IF(D5="Сборка", ".iam", ".ipt")</f>
        <v>PZ.0060.0003-0002 - Дверца в сборе.iam</v>
      </c>
      <c r="B5" s="2" t="str">
        <f>'КВ (установка)'!B8</f>
        <v>PZ.0060.0003-0002</v>
      </c>
      <c r="C5" s="48" t="str">
        <f>'КВ (установка)'!C8</f>
        <v>Дверца в сборе</v>
      </c>
      <c r="D5" s="2" t="s">
        <v>16</v>
      </c>
      <c r="E5" s="2" t="s">
        <v>17</v>
      </c>
      <c r="F5" s="2" t="s">
        <v>20</v>
      </c>
      <c r="G5" s="11">
        <v>46310</v>
      </c>
      <c r="H5" s="2" t="s">
        <v>21</v>
      </c>
      <c r="I5" s="11">
        <v>46310</v>
      </c>
      <c r="J5" s="2" t="s">
        <v>19</v>
      </c>
      <c r="K5" s="2" t="s">
        <v>19</v>
      </c>
      <c r="L5" s="2" t="s">
        <v>21</v>
      </c>
      <c r="M5" s="11">
        <v>46310</v>
      </c>
      <c r="N5" s="2" t="s">
        <v>21</v>
      </c>
      <c r="O5" s="11">
        <v>46310</v>
      </c>
      <c r="P5" s="2" t="s">
        <v>76</v>
      </c>
      <c r="Q5" s="11">
        <v>46310</v>
      </c>
      <c r="R5" s="2" t="s">
        <v>29</v>
      </c>
    </row>
    <row r="6" spans="1:18" x14ac:dyDescent="0.25">
      <c r="A6" s="8" t="s">
        <v>207</v>
      </c>
      <c r="B6" s="2" t="str">
        <f>'КВ (установка)'!B10</f>
        <v>PZ.0060.0005</v>
      </c>
      <c r="C6" s="48" t="str">
        <f>'КВ (установка)'!C10</f>
        <v>Втулка дверцы</v>
      </c>
      <c r="D6" s="2" t="s">
        <v>15</v>
      </c>
      <c r="E6" s="2" t="s">
        <v>17</v>
      </c>
      <c r="F6" s="2" t="s">
        <v>20</v>
      </c>
      <c r="G6" s="11">
        <v>46279</v>
      </c>
      <c r="H6" s="2" t="s">
        <v>21</v>
      </c>
      <c r="I6" s="11">
        <v>46279</v>
      </c>
      <c r="J6" s="2" t="s">
        <v>19</v>
      </c>
      <c r="K6" s="2" t="s">
        <v>19</v>
      </c>
      <c r="L6" s="2" t="s">
        <v>21</v>
      </c>
      <c r="M6" s="11">
        <v>46279</v>
      </c>
      <c r="N6" s="2" t="s">
        <v>21</v>
      </c>
      <c r="O6" s="11">
        <v>46279</v>
      </c>
      <c r="P6" s="2" t="s">
        <v>76</v>
      </c>
      <c r="Q6" s="11">
        <v>46279</v>
      </c>
      <c r="R6" s="2" t="s">
        <v>29</v>
      </c>
    </row>
    <row r="7" spans="1:18" x14ac:dyDescent="0.25">
      <c r="A7" s="10" t="s">
        <v>85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</row>
    <row r="8" spans="1:18" x14ac:dyDescent="0.25">
      <c r="A8" s="8" t="str">
        <f>(IF((E8 = "Пр-во"), (B8 &amp; " - " &amp; C8), C8)) &amp; IF(D8="Сборка", ".iam", ".ipt")</f>
        <v>PZ.0060.0010-0002 - Обечайка подвижная.iam</v>
      </c>
      <c r="B8" s="2" t="str">
        <f>'КВ (установка)'!B14</f>
        <v>PZ.0060.0010-0002</v>
      </c>
      <c r="C8" s="59" t="str">
        <f>'КВ (установка)'!C14</f>
        <v>Обечайка подвижная</v>
      </c>
      <c r="D8" s="2" t="s">
        <v>16</v>
      </c>
      <c r="E8" s="2" t="s">
        <v>17</v>
      </c>
      <c r="F8" s="2" t="s">
        <v>20</v>
      </c>
      <c r="G8" s="11">
        <v>46310</v>
      </c>
      <c r="H8" s="2" t="s">
        <v>21</v>
      </c>
      <c r="I8" s="11">
        <v>46310</v>
      </c>
      <c r="J8" s="2" t="s">
        <v>19</v>
      </c>
      <c r="K8" s="2" t="s">
        <v>19</v>
      </c>
      <c r="L8" s="2" t="s">
        <v>21</v>
      </c>
      <c r="M8" s="11">
        <v>46310</v>
      </c>
      <c r="N8" s="2" t="s">
        <v>21</v>
      </c>
      <c r="O8" s="11">
        <v>46310</v>
      </c>
      <c r="P8" s="2" t="s">
        <v>76</v>
      </c>
      <c r="Q8" s="11">
        <v>46310</v>
      </c>
      <c r="R8" s="2" t="s">
        <v>29</v>
      </c>
    </row>
    <row r="9" spans="1:18" x14ac:dyDescent="0.25">
      <c r="A9" s="8" t="str">
        <f>(IF((E9 = "Пр-во"), (B9 &amp; " - " &amp; C9), C9)) &amp; IF(D9="Сборка", ".iam", ".ipt")</f>
        <v>PZ.0060.0011-0002 - Рамка в сборе.iam</v>
      </c>
      <c r="B9" s="2" t="str">
        <f>'КВ (установка)'!B15</f>
        <v>PZ.0060.0011-0002</v>
      </c>
      <c r="C9" s="5" t="str">
        <f>'КВ (установка)'!C15</f>
        <v>Рамка в сборе</v>
      </c>
      <c r="D9" s="2" t="s">
        <v>16</v>
      </c>
      <c r="E9" s="2" t="s">
        <v>17</v>
      </c>
      <c r="F9" s="2" t="s">
        <v>20</v>
      </c>
      <c r="G9" s="11">
        <v>46310</v>
      </c>
      <c r="H9" s="2" t="s">
        <v>21</v>
      </c>
      <c r="I9" s="11">
        <v>46310</v>
      </c>
      <c r="J9" s="2" t="s">
        <v>19</v>
      </c>
      <c r="K9" s="2" t="s">
        <v>19</v>
      </c>
      <c r="L9" s="2" t="s">
        <v>21</v>
      </c>
      <c r="M9" s="11">
        <v>46310</v>
      </c>
      <c r="N9" s="2" t="s">
        <v>21</v>
      </c>
      <c r="O9" s="11">
        <v>46310</v>
      </c>
      <c r="P9" s="2" t="s">
        <v>76</v>
      </c>
      <c r="Q9" s="11">
        <v>46310</v>
      </c>
      <c r="R9" s="2" t="s">
        <v>29</v>
      </c>
    </row>
    <row r="10" spans="1:18" x14ac:dyDescent="0.25">
      <c r="A10" s="8" t="str">
        <f>(IF((E10 = "Пр-во"), (B10 &amp; " - " &amp; C10), C10)) &amp; IF(D10="Сборка", ".iam", ".ipt")</f>
        <v>PZ.0060.0012-0002 - Замок в сборе.iam</v>
      </c>
      <c r="B10" s="2" t="str">
        <f>'КВ (установка)'!B16</f>
        <v>PZ.0060.0012-0002</v>
      </c>
      <c r="C10" s="7" t="str">
        <f>'КВ (установка)'!C16</f>
        <v>Замок в сборе</v>
      </c>
      <c r="D10" s="2" t="s">
        <v>16</v>
      </c>
      <c r="E10" s="2" t="s">
        <v>17</v>
      </c>
      <c r="F10" s="2" t="s">
        <v>20</v>
      </c>
      <c r="G10" s="11">
        <v>46310</v>
      </c>
      <c r="H10" s="2" t="s">
        <v>21</v>
      </c>
      <c r="I10" s="11">
        <v>46310</v>
      </c>
      <c r="J10" s="2" t="s">
        <v>19</v>
      </c>
      <c r="K10" s="2" t="s">
        <v>19</v>
      </c>
      <c r="L10" s="2" t="s">
        <v>21</v>
      </c>
      <c r="M10" s="11">
        <v>46310</v>
      </c>
      <c r="N10" s="2" t="s">
        <v>21</v>
      </c>
      <c r="O10" s="11">
        <v>46310</v>
      </c>
      <c r="P10" s="2" t="s">
        <v>76</v>
      </c>
      <c r="Q10" s="11">
        <v>46310</v>
      </c>
      <c r="R10" s="2" t="s">
        <v>29</v>
      </c>
    </row>
    <row r="11" spans="1:18" x14ac:dyDescent="0.25">
      <c r="A11" s="10" t="s">
        <v>86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</row>
    <row r="12" spans="1:18" x14ac:dyDescent="0.25">
      <c r="A12" s="8" t="s">
        <v>207</v>
      </c>
      <c r="B12" s="2" t="str">
        <f>'КВ (установка)'!B18</f>
        <v>PZ.0060.0014</v>
      </c>
      <c r="C12" s="2" t="str">
        <f>'КВ (установка)'!C18</f>
        <v>Уплотнитель вертикальный</v>
      </c>
      <c r="D12" s="3" t="s">
        <v>15</v>
      </c>
      <c r="E12" s="2" t="s">
        <v>17</v>
      </c>
      <c r="F12" s="2" t="s">
        <v>20</v>
      </c>
      <c r="G12" s="11">
        <v>46083</v>
      </c>
      <c r="H12" s="2" t="s">
        <v>21</v>
      </c>
      <c r="I12" s="11">
        <v>46083</v>
      </c>
      <c r="J12" s="2" t="s">
        <v>19</v>
      </c>
      <c r="K12" s="2" t="s">
        <v>19</v>
      </c>
      <c r="L12" s="2" t="s">
        <v>21</v>
      </c>
      <c r="M12" s="11">
        <v>46083</v>
      </c>
      <c r="N12" s="2" t="s">
        <v>21</v>
      </c>
      <c r="O12" s="11">
        <v>46083</v>
      </c>
      <c r="P12" s="2" t="s">
        <v>76</v>
      </c>
      <c r="Q12" s="11">
        <v>46083</v>
      </c>
      <c r="R12" s="2" t="s">
        <v>29</v>
      </c>
    </row>
    <row r="13" spans="1:18" ht="28.5" x14ac:dyDescent="0.25">
      <c r="A13" s="8" t="s">
        <v>207</v>
      </c>
      <c r="B13" s="2" t="str">
        <f>'КВ (установка)'!B19</f>
        <v>PZ.0060.0015</v>
      </c>
      <c r="C13" s="2" t="str">
        <f>'КВ (установка)'!C19</f>
        <v>Уплотнитель горизонтальный</v>
      </c>
      <c r="D13" s="3" t="s">
        <v>15</v>
      </c>
      <c r="E13" s="2" t="s">
        <v>17</v>
      </c>
      <c r="F13" s="2" t="s">
        <v>20</v>
      </c>
      <c r="G13" s="11">
        <v>46083</v>
      </c>
      <c r="H13" s="2" t="s">
        <v>21</v>
      </c>
      <c r="I13" s="11">
        <v>46083</v>
      </c>
      <c r="J13" s="2" t="s">
        <v>19</v>
      </c>
      <c r="K13" s="2" t="s">
        <v>19</v>
      </c>
      <c r="L13" s="2" t="s">
        <v>21</v>
      </c>
      <c r="M13" s="11">
        <v>46083</v>
      </c>
      <c r="N13" s="2" t="s">
        <v>21</v>
      </c>
      <c r="O13" s="11">
        <v>46083</v>
      </c>
      <c r="P13" s="2" t="s">
        <v>76</v>
      </c>
      <c r="Q13" s="11">
        <v>46083</v>
      </c>
      <c r="R13" s="2" t="s">
        <v>29</v>
      </c>
    </row>
    <row r="14" spans="1:18" x14ac:dyDescent="0.25">
      <c r="A14" s="8" t="s">
        <v>207</v>
      </c>
      <c r="B14" s="2" t="str">
        <f>'КВ (установка)'!B20</f>
        <v>PZ.0060.0016-0002</v>
      </c>
      <c r="C14" s="2" t="str">
        <f>'КВ (установка)'!C20</f>
        <v>Прокладка</v>
      </c>
      <c r="D14" s="3" t="s">
        <v>15</v>
      </c>
      <c r="E14" s="2" t="s">
        <v>17</v>
      </c>
      <c r="F14" s="2" t="s">
        <v>20</v>
      </c>
      <c r="G14" s="11">
        <v>46310</v>
      </c>
      <c r="H14" s="2" t="s">
        <v>21</v>
      </c>
      <c r="I14" s="11">
        <v>46310</v>
      </c>
      <c r="J14" s="2" t="s">
        <v>19</v>
      </c>
      <c r="K14" s="2" t="s">
        <v>19</v>
      </c>
      <c r="L14" s="2" t="s">
        <v>21</v>
      </c>
      <c r="M14" s="11">
        <v>46310</v>
      </c>
      <c r="N14" s="2" t="s">
        <v>21</v>
      </c>
      <c r="O14" s="11">
        <v>46310</v>
      </c>
      <c r="P14" s="2" t="s">
        <v>76</v>
      </c>
      <c r="Q14" s="11">
        <v>46310</v>
      </c>
      <c r="R14" s="2" t="s">
        <v>29</v>
      </c>
    </row>
    <row r="15" spans="1:18" x14ac:dyDescent="0.25">
      <c r="A15" s="10" t="s">
        <v>87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</row>
    <row r="16" spans="1:18" x14ac:dyDescent="0.25">
      <c r="A16" s="8" t="str">
        <f>(IF((E16 = "Пр-во"), (B16 &amp; " - " &amp; C16), C16)) &amp; IF(D16="Сборка", ".iam", ".ipt")</f>
        <v>Винт DIN 7420-M5x10-4.8.ipt</v>
      </c>
      <c r="B16" s="8" t="str">
        <f>'КВ (установка)'!B22</f>
        <v>-</v>
      </c>
      <c r="C16" s="8" t="str">
        <f>'КВ (установка)'!C22</f>
        <v>Винт DIN 7420-M5x10-4.8</v>
      </c>
      <c r="D16" s="3" t="s">
        <v>15</v>
      </c>
      <c r="E16" s="2" t="s">
        <v>18</v>
      </c>
      <c r="F16" s="3" t="s">
        <v>19</v>
      </c>
      <c r="G16" s="3" t="s">
        <v>19</v>
      </c>
      <c r="H16" s="3" t="s">
        <v>19</v>
      </c>
      <c r="I16" s="3" t="s">
        <v>19</v>
      </c>
      <c r="J16" s="3" t="s">
        <v>19</v>
      </c>
      <c r="K16" s="3" t="s">
        <v>19</v>
      </c>
      <c r="L16" s="3" t="s">
        <v>19</v>
      </c>
      <c r="M16" s="3" t="s">
        <v>19</v>
      </c>
      <c r="N16" s="3" t="s">
        <v>19</v>
      </c>
      <c r="O16" s="3" t="s">
        <v>19</v>
      </c>
      <c r="P16" s="3" t="s">
        <v>19</v>
      </c>
      <c r="Q16" s="3" t="s">
        <v>19</v>
      </c>
      <c r="R16" s="3" t="s">
        <v>19</v>
      </c>
    </row>
    <row r="17" spans="1:18" ht="28.5" x14ac:dyDescent="0.25">
      <c r="A17" s="8" t="str">
        <f>(IF((E17 = "Пр-во"), (B17 &amp; " - " &amp; C17), C17)) &amp; IF(D17="Сборка", ".iam", ".ipt")</f>
        <v>Винт с потайной головкой DIN 965-M5x16.ipt</v>
      </c>
      <c r="B17" s="8" t="str">
        <f>'КВ (установка)'!B23</f>
        <v>-</v>
      </c>
      <c r="C17" s="8" t="str">
        <f>'КВ (установка)'!C23</f>
        <v>Винт с потайной головкой DIN 965-M5x16</v>
      </c>
      <c r="D17" s="3" t="s">
        <v>15</v>
      </c>
      <c r="E17" s="2" t="s">
        <v>18</v>
      </c>
      <c r="F17" s="3" t="s">
        <v>19</v>
      </c>
      <c r="G17" s="3" t="s">
        <v>19</v>
      </c>
      <c r="H17" s="3" t="s">
        <v>19</v>
      </c>
      <c r="I17" s="3" t="s">
        <v>19</v>
      </c>
      <c r="J17" s="3" t="s">
        <v>19</v>
      </c>
      <c r="K17" s="3" t="s">
        <v>19</v>
      </c>
      <c r="L17" s="3" t="s">
        <v>19</v>
      </c>
      <c r="M17" s="3" t="s">
        <v>19</v>
      </c>
      <c r="N17" s="3" t="s">
        <v>19</v>
      </c>
      <c r="O17" s="3" t="s">
        <v>19</v>
      </c>
      <c r="P17" s="3" t="s">
        <v>19</v>
      </c>
      <c r="Q17" s="3" t="s">
        <v>19</v>
      </c>
      <c r="R17" s="3" t="s">
        <v>19</v>
      </c>
    </row>
    <row r="18" spans="1:18" ht="28.5" x14ac:dyDescent="0.25">
      <c r="A18" s="8" t="str">
        <f>(IF((E18 = "Пр-во"), (B18 &amp; " - " &amp; C18), C18)) &amp; IF(D18="Сборка", ".iam", ".ipt")</f>
        <v>Гайка c фланцем и насечкой DIN 6923-M5-A2.ipt</v>
      </c>
      <c r="B18" s="8" t="str">
        <f>'КВ (установка)'!B24</f>
        <v>-</v>
      </c>
      <c r="C18" s="8" t="str">
        <f>'КВ (установка)'!C24</f>
        <v>Гайка c фланцем и насечкой DIN 6923-M5-A2</v>
      </c>
      <c r="D18" s="3" t="s">
        <v>15</v>
      </c>
      <c r="E18" s="2" t="s">
        <v>18</v>
      </c>
      <c r="F18" s="3" t="s">
        <v>19</v>
      </c>
      <c r="G18" s="3" t="s">
        <v>19</v>
      </c>
      <c r="H18" s="3" t="s">
        <v>19</v>
      </c>
      <c r="I18" s="3" t="s">
        <v>19</v>
      </c>
      <c r="J18" s="3" t="s">
        <v>19</v>
      </c>
      <c r="K18" s="3" t="s">
        <v>19</v>
      </c>
      <c r="L18" s="3" t="s">
        <v>19</v>
      </c>
      <c r="M18" s="3" t="s">
        <v>19</v>
      </c>
      <c r="N18" s="3" t="s">
        <v>19</v>
      </c>
      <c r="O18" s="3" t="s">
        <v>19</v>
      </c>
      <c r="P18" s="3" t="s">
        <v>19</v>
      </c>
      <c r="Q18" s="3" t="s">
        <v>19</v>
      </c>
      <c r="R18" s="3" t="s">
        <v>19</v>
      </c>
    </row>
    <row r="19" spans="1:18" x14ac:dyDescent="0.25">
      <c r="A19" s="29" t="s">
        <v>104</v>
      </c>
      <c r="B19" s="29"/>
      <c r="C19" s="29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</row>
    <row r="20" spans="1:18" x14ac:dyDescent="0.25">
      <c r="A20" s="8" t="s">
        <v>207</v>
      </c>
      <c r="B20" s="2" t="str">
        <f>'КВ (установка)'!B26</f>
        <v>PZ.0060.0020</v>
      </c>
      <c r="C20" s="2" t="str">
        <f>'КВ (установка)'!C26</f>
        <v>Лист нижний</v>
      </c>
      <c r="D20" s="3" t="s">
        <v>15</v>
      </c>
      <c r="E20" s="2" t="s">
        <v>17</v>
      </c>
      <c r="F20" s="2" t="s">
        <v>20</v>
      </c>
      <c r="G20" s="11">
        <v>46083</v>
      </c>
      <c r="H20" s="2" t="s">
        <v>21</v>
      </c>
      <c r="I20" s="11">
        <v>46083</v>
      </c>
      <c r="J20" s="2" t="s">
        <v>19</v>
      </c>
      <c r="K20" s="2" t="s">
        <v>19</v>
      </c>
      <c r="L20" s="2" t="s">
        <v>21</v>
      </c>
      <c r="M20" s="11">
        <v>46083</v>
      </c>
      <c r="N20" s="2" t="s">
        <v>21</v>
      </c>
      <c r="O20" s="11">
        <v>46083</v>
      </c>
      <c r="P20" s="2" t="s">
        <v>76</v>
      </c>
      <c r="Q20" s="11">
        <v>46083</v>
      </c>
      <c r="R20" s="2" t="s">
        <v>29</v>
      </c>
    </row>
    <row r="21" spans="1:18" x14ac:dyDescent="0.25">
      <c r="A21" s="8" t="s">
        <v>207</v>
      </c>
      <c r="B21" s="2" t="str">
        <f>'КВ (установка)'!B27</f>
        <v>PZ.0060.0021</v>
      </c>
      <c r="C21" s="2" t="str">
        <f>'КВ (установка)'!C27</f>
        <v>Лист верхний</v>
      </c>
      <c r="D21" s="3" t="s">
        <v>15</v>
      </c>
      <c r="E21" s="2" t="s">
        <v>17</v>
      </c>
      <c r="F21" s="2" t="s">
        <v>20</v>
      </c>
      <c r="G21" s="11">
        <v>46083</v>
      </c>
      <c r="H21" s="2" t="s">
        <v>21</v>
      </c>
      <c r="I21" s="11">
        <v>46083</v>
      </c>
      <c r="J21" s="2" t="s">
        <v>19</v>
      </c>
      <c r="K21" s="2" t="s">
        <v>19</v>
      </c>
      <c r="L21" s="2" t="s">
        <v>21</v>
      </c>
      <c r="M21" s="11">
        <v>46083</v>
      </c>
      <c r="N21" s="2" t="s">
        <v>21</v>
      </c>
      <c r="O21" s="11">
        <v>46083</v>
      </c>
      <c r="P21" s="2" t="s">
        <v>76</v>
      </c>
      <c r="Q21" s="11">
        <v>46083</v>
      </c>
      <c r="R21" s="2" t="s">
        <v>29</v>
      </c>
    </row>
    <row r="22" spans="1:18" x14ac:dyDescent="0.25">
      <c r="A22" s="8" t="str">
        <f t="shared" ref="A22:A23" si="1">(IF((E22 = "Пр-во"), (B22 &amp; " - " &amp; C22), C22)) &amp; IF(D22="Сборка", ".iam", ".ipt")</f>
        <v>PZ.0060.0022-0002 - Лист правый.ipt</v>
      </c>
      <c r="B22" s="2" t="str">
        <f>'КВ (установка)'!B28</f>
        <v>PZ.0060.0022-0002</v>
      </c>
      <c r="C22" s="2" t="str">
        <f>'КВ (установка)'!C28</f>
        <v>Лист правый</v>
      </c>
      <c r="D22" s="3" t="s">
        <v>15</v>
      </c>
      <c r="E22" s="2" t="s">
        <v>17</v>
      </c>
      <c r="F22" s="2" t="s">
        <v>20</v>
      </c>
      <c r="G22" s="11">
        <v>46310</v>
      </c>
      <c r="H22" s="2" t="s">
        <v>21</v>
      </c>
      <c r="I22" s="11">
        <v>46310</v>
      </c>
      <c r="J22" s="2" t="s">
        <v>19</v>
      </c>
      <c r="K22" s="2" t="s">
        <v>19</v>
      </c>
      <c r="L22" s="2" t="s">
        <v>21</v>
      </c>
      <c r="M22" s="11">
        <v>46310</v>
      </c>
      <c r="N22" s="2" t="s">
        <v>21</v>
      </c>
      <c r="O22" s="11">
        <v>46310</v>
      </c>
      <c r="P22" s="2" t="s">
        <v>76</v>
      </c>
      <c r="Q22" s="11">
        <v>46310</v>
      </c>
      <c r="R22" s="2" t="s">
        <v>29</v>
      </c>
    </row>
    <row r="23" spans="1:18" x14ac:dyDescent="0.25">
      <c r="A23" s="8" t="str">
        <f t="shared" si="1"/>
        <v>PZ.0060.0023-0002 - Лист левый.ipt</v>
      </c>
      <c r="B23" s="2" t="str">
        <f>'КВ (установка)'!B29</f>
        <v>PZ.0060.0023-0002</v>
      </c>
      <c r="C23" s="2" t="str">
        <f>'КВ (установка)'!C29</f>
        <v>Лист левый</v>
      </c>
      <c r="D23" s="3" t="s">
        <v>15</v>
      </c>
      <c r="E23" s="2" t="s">
        <v>17</v>
      </c>
      <c r="F23" s="2" t="s">
        <v>20</v>
      </c>
      <c r="G23" s="11">
        <v>46310</v>
      </c>
      <c r="H23" s="2" t="s">
        <v>21</v>
      </c>
      <c r="I23" s="11">
        <v>46310</v>
      </c>
      <c r="J23" s="2" t="s">
        <v>19</v>
      </c>
      <c r="K23" s="2" t="s">
        <v>19</v>
      </c>
      <c r="L23" s="2" t="s">
        <v>21</v>
      </c>
      <c r="M23" s="11">
        <v>46310</v>
      </c>
      <c r="N23" s="2" t="s">
        <v>21</v>
      </c>
      <c r="O23" s="11">
        <v>46310</v>
      </c>
      <c r="P23" s="2" t="s">
        <v>76</v>
      </c>
      <c r="Q23" s="11">
        <v>46310</v>
      </c>
      <c r="R23" s="2" t="s">
        <v>29</v>
      </c>
    </row>
    <row r="24" spans="1:18" x14ac:dyDescent="0.25">
      <c r="A24" s="8" t="s">
        <v>207</v>
      </c>
      <c r="B24" s="2" t="str">
        <f>'КВ (установка)'!B30</f>
        <v>PZ.0060.0024</v>
      </c>
      <c r="C24" s="2" t="str">
        <f>'КВ (установка)'!C30</f>
        <v>Направляющая</v>
      </c>
      <c r="D24" s="3" t="s">
        <v>15</v>
      </c>
      <c r="E24" s="2" t="s">
        <v>17</v>
      </c>
      <c r="F24" s="2" t="s">
        <v>20</v>
      </c>
      <c r="G24" s="11">
        <v>46083</v>
      </c>
      <c r="H24" s="2" t="s">
        <v>21</v>
      </c>
      <c r="I24" s="11">
        <v>46083</v>
      </c>
      <c r="J24" s="2" t="s">
        <v>19</v>
      </c>
      <c r="K24" s="2" t="s">
        <v>19</v>
      </c>
      <c r="L24" s="2" t="s">
        <v>21</v>
      </c>
      <c r="M24" s="11">
        <v>46083</v>
      </c>
      <c r="N24" s="2" t="s">
        <v>21</v>
      </c>
      <c r="O24" s="11">
        <v>46083</v>
      </c>
      <c r="P24" s="2" t="s">
        <v>76</v>
      </c>
      <c r="Q24" s="11">
        <v>46083</v>
      </c>
      <c r="R24" s="2" t="s">
        <v>29</v>
      </c>
    </row>
    <row r="25" spans="1:18" x14ac:dyDescent="0.25">
      <c r="A25" s="31" t="s">
        <v>90</v>
      </c>
      <c r="B25" s="31"/>
      <c r="C25" s="31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</row>
    <row r="26" spans="1:18" x14ac:dyDescent="0.25">
      <c r="A26" s="8" t="str">
        <f>(IF((E26 = "Пр-во"), (B26 &amp; " - " &amp; C26), C26)) &amp; IF(D26="Сборка", ".iam", ".ipt")</f>
        <v>PZ.0060.0030-0002 - Рамка.iam</v>
      </c>
      <c r="B26" s="2" t="str">
        <f>'КВ (установка)'!B33</f>
        <v>PZ.0060.0030-0002</v>
      </c>
      <c r="C26" s="32" t="str">
        <f>'КВ (установка)'!C33</f>
        <v>Рамка</v>
      </c>
      <c r="D26" s="2" t="s">
        <v>16</v>
      </c>
      <c r="E26" s="2" t="s">
        <v>17</v>
      </c>
      <c r="F26" s="2" t="s">
        <v>20</v>
      </c>
      <c r="G26" s="11">
        <v>46310</v>
      </c>
      <c r="H26" s="2" t="s">
        <v>21</v>
      </c>
      <c r="I26" s="11">
        <v>46310</v>
      </c>
      <c r="J26" s="2" t="s">
        <v>19</v>
      </c>
      <c r="K26" s="2" t="s">
        <v>19</v>
      </c>
      <c r="L26" s="2" t="s">
        <v>21</v>
      </c>
      <c r="M26" s="11">
        <v>46310</v>
      </c>
      <c r="N26" s="2" t="s">
        <v>21</v>
      </c>
      <c r="O26" s="11">
        <v>46310</v>
      </c>
      <c r="P26" s="2" t="s">
        <v>76</v>
      </c>
      <c r="Q26" s="11">
        <v>46310</v>
      </c>
      <c r="R26" s="2" t="s">
        <v>29</v>
      </c>
    </row>
    <row r="27" spans="1:18" x14ac:dyDescent="0.25">
      <c r="A27" s="8" t="s">
        <v>207</v>
      </c>
      <c r="B27" s="2" t="str">
        <f>'КВ (установка)'!B34</f>
        <v>PZ.0060.0031</v>
      </c>
      <c r="C27" s="33" t="str">
        <f>'КВ (установка)'!C34</f>
        <v>Сенсор в сборе</v>
      </c>
      <c r="D27" s="2" t="s">
        <v>16</v>
      </c>
      <c r="E27" s="2" t="s">
        <v>17</v>
      </c>
      <c r="F27" s="2" t="s">
        <v>20</v>
      </c>
      <c r="G27" s="11">
        <v>46083</v>
      </c>
      <c r="H27" s="2" t="s">
        <v>21</v>
      </c>
      <c r="I27" s="11">
        <v>46083</v>
      </c>
      <c r="J27" s="2" t="s">
        <v>19</v>
      </c>
      <c r="K27" s="2" t="s">
        <v>19</v>
      </c>
      <c r="L27" s="2" t="s">
        <v>21</v>
      </c>
      <c r="M27" s="11">
        <v>46083</v>
      </c>
      <c r="N27" s="2" t="s">
        <v>21</v>
      </c>
      <c r="O27" s="11">
        <v>46083</v>
      </c>
      <c r="P27" s="2" t="s">
        <v>76</v>
      </c>
      <c r="Q27" s="11">
        <v>46083</v>
      </c>
      <c r="R27" s="2" t="s">
        <v>29</v>
      </c>
    </row>
    <row r="28" spans="1:18" x14ac:dyDescent="0.25">
      <c r="A28" s="31" t="s">
        <v>89</v>
      </c>
      <c r="B28" s="31"/>
      <c r="C28" s="31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</row>
    <row r="29" spans="1:18" x14ac:dyDescent="0.25">
      <c r="A29" s="8" t="s">
        <v>207</v>
      </c>
      <c r="B29" s="2" t="str">
        <f>'КВ (установка)'!B36</f>
        <v>PZ.0060.0033</v>
      </c>
      <c r="C29" s="2" t="str">
        <f>'КВ (установка)'!C36</f>
        <v>Стопор дверцы</v>
      </c>
      <c r="D29" s="3" t="s">
        <v>15</v>
      </c>
      <c r="E29" s="2" t="s">
        <v>17</v>
      </c>
      <c r="F29" s="2" t="s">
        <v>20</v>
      </c>
      <c r="G29" s="11">
        <v>46083</v>
      </c>
      <c r="H29" s="2" t="s">
        <v>21</v>
      </c>
      <c r="I29" s="11">
        <v>46083</v>
      </c>
      <c r="J29" s="2" t="s">
        <v>19</v>
      </c>
      <c r="K29" s="2" t="s">
        <v>19</v>
      </c>
      <c r="L29" s="2" t="s">
        <v>21</v>
      </c>
      <c r="M29" s="11">
        <v>46083</v>
      </c>
      <c r="N29" s="2" t="s">
        <v>21</v>
      </c>
      <c r="O29" s="11">
        <v>46083</v>
      </c>
      <c r="P29" s="2" t="s">
        <v>76</v>
      </c>
      <c r="Q29" s="11">
        <v>46083</v>
      </c>
      <c r="R29" s="2" t="s">
        <v>29</v>
      </c>
    </row>
    <row r="30" spans="1:18" x14ac:dyDescent="0.25">
      <c r="A30" s="31" t="s">
        <v>91</v>
      </c>
      <c r="B30" s="31"/>
      <c r="C30" s="31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</row>
    <row r="31" spans="1:18" ht="28.5" x14ac:dyDescent="0.25">
      <c r="A31" s="8" t="str">
        <f>(IF((E31 = "Пр-во"), (B31 &amp; " - " &amp; C31), C31)) &amp; IF(D31="Сборка", ".iam", ".ipt")</f>
        <v>Винт резьбовыдавливающий DIN 7500 C-M3x10x0,45.ipt</v>
      </c>
      <c r="B31" s="2" t="str">
        <f>'КВ (установка)'!B38</f>
        <v>-</v>
      </c>
      <c r="C31" s="2" t="str">
        <f>'КВ (установка)'!C38</f>
        <v>Винт резьбовыдавливающий DIN 7500 C-M3x10x0,45</v>
      </c>
      <c r="D31" s="3" t="s">
        <v>15</v>
      </c>
      <c r="E31" s="3" t="s">
        <v>18</v>
      </c>
      <c r="F31" s="3" t="s">
        <v>19</v>
      </c>
      <c r="G31" s="3" t="s">
        <v>19</v>
      </c>
      <c r="H31" s="3" t="s">
        <v>19</v>
      </c>
      <c r="I31" s="3" t="s">
        <v>19</v>
      </c>
      <c r="J31" s="3" t="s">
        <v>19</v>
      </c>
      <c r="K31" s="3" t="s">
        <v>19</v>
      </c>
      <c r="L31" s="3" t="s">
        <v>19</v>
      </c>
      <c r="M31" s="3" t="s">
        <v>19</v>
      </c>
      <c r="N31" s="3" t="s">
        <v>19</v>
      </c>
      <c r="O31" s="3" t="s">
        <v>19</v>
      </c>
      <c r="P31" s="3" t="s">
        <v>19</v>
      </c>
      <c r="Q31" s="3" t="s">
        <v>19</v>
      </c>
      <c r="R31" s="3" t="s">
        <v>19</v>
      </c>
    </row>
    <row r="32" spans="1:18" x14ac:dyDescent="0.25">
      <c r="A32" s="10" t="s">
        <v>92</v>
      </c>
      <c r="B32" s="10"/>
      <c r="C32" s="10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</row>
    <row r="33" spans="1:18" x14ac:dyDescent="0.25">
      <c r="A33" s="8" t="str">
        <f>(IF((E33 = "Пр-во"), (B33 &amp; " - " &amp; C33), C33)) &amp; IF(D33="Сборка", ".iam", ".ipt")</f>
        <v>PZ.0060.0045-0002 - Короб.ipt</v>
      </c>
      <c r="B33" s="2" t="str">
        <f>'КВ (установка)'!B40</f>
        <v>PZ.0060.0045-0002</v>
      </c>
      <c r="C33" s="3" t="str">
        <f>'КВ (установка)'!C40</f>
        <v>Короб</v>
      </c>
      <c r="D33" s="3" t="s">
        <v>15</v>
      </c>
      <c r="E33" s="2" t="s">
        <v>17</v>
      </c>
      <c r="F33" s="2" t="s">
        <v>20</v>
      </c>
      <c r="G33" s="11">
        <v>46310</v>
      </c>
      <c r="H33" s="2" t="s">
        <v>21</v>
      </c>
      <c r="I33" s="11">
        <v>46310</v>
      </c>
      <c r="J33" s="2" t="s">
        <v>19</v>
      </c>
      <c r="K33" s="2" t="s">
        <v>19</v>
      </c>
      <c r="L33" s="2" t="s">
        <v>21</v>
      </c>
      <c r="M33" s="11">
        <v>46310</v>
      </c>
      <c r="N33" s="2" t="s">
        <v>21</v>
      </c>
      <c r="O33" s="11">
        <v>46310</v>
      </c>
      <c r="P33" s="2" t="s">
        <v>76</v>
      </c>
      <c r="Q33" s="11">
        <v>46310</v>
      </c>
      <c r="R33" s="2" t="s">
        <v>29</v>
      </c>
    </row>
    <row r="34" spans="1:18" x14ac:dyDescent="0.25">
      <c r="A34" s="8" t="s">
        <v>207</v>
      </c>
      <c r="B34" s="2" t="str">
        <f>'КВ (установка)'!B41</f>
        <v>PZ.0060.0050</v>
      </c>
      <c r="C34" s="3" t="str">
        <f>'КВ (установка)'!C41</f>
        <v>Пластина фронтальная</v>
      </c>
      <c r="D34" s="3" t="s">
        <v>15</v>
      </c>
      <c r="E34" s="2" t="s">
        <v>17</v>
      </c>
      <c r="F34" s="2" t="s">
        <v>20</v>
      </c>
      <c r="G34" s="11">
        <v>46279</v>
      </c>
      <c r="H34" s="2" t="s">
        <v>21</v>
      </c>
      <c r="I34" s="11">
        <v>46279</v>
      </c>
      <c r="J34" s="2" t="s">
        <v>19</v>
      </c>
      <c r="K34" s="2" t="s">
        <v>19</v>
      </c>
      <c r="L34" s="2" t="s">
        <v>21</v>
      </c>
      <c r="M34" s="11">
        <v>46279</v>
      </c>
      <c r="N34" s="2" t="s">
        <v>21</v>
      </c>
      <c r="O34" s="11">
        <v>46279</v>
      </c>
      <c r="P34" s="2" t="s">
        <v>76</v>
      </c>
      <c r="Q34" s="11">
        <v>46279</v>
      </c>
      <c r="R34" s="2" t="s">
        <v>29</v>
      </c>
    </row>
    <row r="35" spans="1:18" x14ac:dyDescent="0.25">
      <c r="A35" s="74" t="s">
        <v>93</v>
      </c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</row>
    <row r="36" spans="1:18" x14ac:dyDescent="0.25">
      <c r="A36" s="8" t="str">
        <f>(IF((E36 = "Пр-во"), (B36 &amp; " - " &amp; C36), C36)) &amp; IF(D36="Сборка", ".iam", ".ipt")</f>
        <v>Сенсор.iam</v>
      </c>
      <c r="B36" s="2" t="str">
        <f>'КВ (установка)'!B43</f>
        <v>-</v>
      </c>
      <c r="C36" s="2" t="str">
        <f>'КВ (установка)'!C43</f>
        <v>Сенсор</v>
      </c>
      <c r="D36" s="3" t="s">
        <v>16</v>
      </c>
      <c r="E36" s="3" t="s">
        <v>18</v>
      </c>
      <c r="F36" s="3" t="s">
        <v>19</v>
      </c>
      <c r="G36" s="3" t="s">
        <v>19</v>
      </c>
      <c r="H36" s="3" t="s">
        <v>19</v>
      </c>
      <c r="I36" s="3" t="s">
        <v>19</v>
      </c>
      <c r="J36" s="3" t="s">
        <v>19</v>
      </c>
      <c r="K36" s="3" t="s">
        <v>19</v>
      </c>
      <c r="L36" s="3" t="s">
        <v>19</v>
      </c>
      <c r="M36" s="3" t="s">
        <v>19</v>
      </c>
      <c r="N36" s="3" t="s">
        <v>19</v>
      </c>
      <c r="O36" s="3" t="s">
        <v>19</v>
      </c>
      <c r="P36" s="3" t="s">
        <v>19</v>
      </c>
      <c r="Q36" s="3" t="s">
        <v>19</v>
      </c>
      <c r="R36" s="3" t="s">
        <v>19</v>
      </c>
    </row>
    <row r="37" spans="1:18" x14ac:dyDescent="0.25">
      <c r="A37" s="74" t="s">
        <v>94</v>
      </c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</row>
    <row r="38" spans="1:18" ht="42.75" x14ac:dyDescent="0.25">
      <c r="A38" s="8" t="str">
        <f>(IF((E38 = "Пр-во"), (B38 &amp; " - " &amp; C38), C38)) &amp; IF(D38="Сборка", ".iam", ".ipt")</f>
        <v>Фитинг герметичный CGS-PG13 - нейлон 6 черный - резьба PG13.ipt</v>
      </c>
      <c r="B38" s="2" t="str">
        <f>'КВ (установка)'!B51</f>
        <v>-</v>
      </c>
      <c r="C38" s="2" t="str">
        <f>'КВ (установка)'!C51</f>
        <v>Фитинг герметичный CGS-PG13 - нейлон 6 черный - резьба PG13</v>
      </c>
      <c r="D38" s="3" t="s">
        <v>15</v>
      </c>
      <c r="E38" s="2" t="s">
        <v>18</v>
      </c>
      <c r="F38" s="2" t="s">
        <v>20</v>
      </c>
      <c r="G38" s="11">
        <v>46083</v>
      </c>
      <c r="H38" s="2" t="s">
        <v>21</v>
      </c>
      <c r="I38" s="11">
        <v>46083</v>
      </c>
      <c r="J38" s="2" t="s">
        <v>19</v>
      </c>
      <c r="K38" s="2" t="s">
        <v>19</v>
      </c>
      <c r="L38" s="2" t="s">
        <v>21</v>
      </c>
      <c r="M38" s="11">
        <v>46083</v>
      </c>
      <c r="N38" s="2" t="s">
        <v>21</v>
      </c>
      <c r="O38" s="11">
        <v>46083</v>
      </c>
      <c r="P38" s="2" t="s">
        <v>76</v>
      </c>
      <c r="Q38" s="11">
        <v>46083</v>
      </c>
      <c r="R38" s="2" t="s">
        <v>29</v>
      </c>
    </row>
    <row r="39" spans="1:18" ht="28.5" x14ac:dyDescent="0.25">
      <c r="A39" s="8" t="str">
        <f>(IF((E39 = "Пр-во"), (B39 &amp; " - " &amp; C39), C39)) &amp; IF(D39="Сборка", ".iam", ".ipt")</f>
        <v>Разъем GX12 2pin - розетка.ipt</v>
      </c>
      <c r="B39" s="2" t="str">
        <f>'КВ (установка)'!B52</f>
        <v>-</v>
      </c>
      <c r="C39" s="2" t="str">
        <f>'КВ (установка)'!C52</f>
        <v>Разъем GX12 2pin - розетка</v>
      </c>
      <c r="D39" s="3" t="s">
        <v>39</v>
      </c>
      <c r="E39" s="2" t="s">
        <v>18</v>
      </c>
      <c r="F39" s="2" t="s">
        <v>20</v>
      </c>
      <c r="G39" s="11">
        <v>46083</v>
      </c>
      <c r="H39" s="2" t="s">
        <v>21</v>
      </c>
      <c r="I39" s="11">
        <v>46083</v>
      </c>
      <c r="J39" s="2" t="s">
        <v>19</v>
      </c>
      <c r="K39" s="2" t="s">
        <v>19</v>
      </c>
      <c r="L39" s="2" t="s">
        <v>21</v>
      </c>
      <c r="M39" s="11">
        <v>46083</v>
      </c>
      <c r="N39" s="2" t="s">
        <v>21</v>
      </c>
      <c r="O39" s="11">
        <v>46083</v>
      </c>
      <c r="P39" s="2" t="s">
        <v>76</v>
      </c>
      <c r="Q39" s="11">
        <v>46083</v>
      </c>
      <c r="R39" s="2" t="s">
        <v>29</v>
      </c>
    </row>
    <row r="40" spans="1:18" ht="28.5" x14ac:dyDescent="0.25">
      <c r="A40" s="8" t="str">
        <f>(IF((E40 = "Пр-во"), (B40 &amp; " - " &amp; C40), C40)) &amp; IF(D40="Сборка", ".iam", ".ipt")</f>
        <v>Аудиодинамик Your Cee Cavity Speaker 2831 2828.ipt</v>
      </c>
      <c r="B40" s="2" t="str">
        <f>'КВ (установка)'!B54</f>
        <v>-</v>
      </c>
      <c r="C40" s="2" t="str">
        <f>'КВ (установка)'!C54</f>
        <v>Аудиодинамик Your Cee Cavity Speaker 2831 2828</v>
      </c>
      <c r="D40" s="3" t="s">
        <v>39</v>
      </c>
      <c r="E40" s="2" t="s">
        <v>18</v>
      </c>
      <c r="F40" s="2" t="s">
        <v>20</v>
      </c>
      <c r="G40" s="11">
        <v>46083</v>
      </c>
      <c r="H40" s="2" t="s">
        <v>21</v>
      </c>
      <c r="I40" s="11">
        <v>46083</v>
      </c>
      <c r="J40" s="2" t="s">
        <v>19</v>
      </c>
      <c r="K40" s="2" t="s">
        <v>19</v>
      </c>
      <c r="L40" s="2" t="s">
        <v>21</v>
      </c>
      <c r="M40" s="11">
        <v>46083</v>
      </c>
      <c r="N40" s="2" t="s">
        <v>21</v>
      </c>
      <c r="O40" s="11">
        <v>46083</v>
      </c>
      <c r="P40" s="2" t="s">
        <v>76</v>
      </c>
      <c r="Q40" s="11">
        <v>46083</v>
      </c>
      <c r="R40" s="2" t="s">
        <v>29</v>
      </c>
    </row>
    <row r="41" spans="1:18" x14ac:dyDescent="0.25">
      <c r="A41" s="49" t="s">
        <v>96</v>
      </c>
      <c r="B41" s="49"/>
      <c r="C41" s="49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</row>
    <row r="42" spans="1:18" x14ac:dyDescent="0.25">
      <c r="A42" s="8" t="str">
        <f>(IF((E42 = "Пр-во"), (B42 &amp; " - " &amp; C42), C42)) &amp; IF(D42="Сборка", ".iam", ".ipt")</f>
        <v>PZ.0060.0065-0002 - Дверца.iam</v>
      </c>
      <c r="B42" s="2" t="str">
        <f>'КВ (установка)'!B56</f>
        <v>PZ.0060.0065-0002</v>
      </c>
      <c r="C42" s="6" t="str">
        <f>'КВ (установка)'!C56</f>
        <v>Дверца</v>
      </c>
      <c r="D42" s="2" t="s">
        <v>16</v>
      </c>
      <c r="E42" s="2" t="s">
        <v>17</v>
      </c>
      <c r="F42" s="2" t="s">
        <v>20</v>
      </c>
      <c r="G42" s="11">
        <v>46310</v>
      </c>
      <c r="H42" s="2" t="s">
        <v>21</v>
      </c>
      <c r="I42" s="11">
        <v>46310</v>
      </c>
      <c r="J42" s="2" t="s">
        <v>19</v>
      </c>
      <c r="K42" s="2" t="s">
        <v>19</v>
      </c>
      <c r="L42" s="2" t="s">
        <v>21</v>
      </c>
      <c r="M42" s="11">
        <v>46310</v>
      </c>
      <c r="N42" s="2" t="s">
        <v>21</v>
      </c>
      <c r="O42" s="11">
        <v>46310</v>
      </c>
      <c r="P42" s="2" t="s">
        <v>76</v>
      </c>
      <c r="Q42" s="11">
        <v>46310</v>
      </c>
      <c r="R42" s="2" t="s">
        <v>29</v>
      </c>
    </row>
    <row r="43" spans="1:18" x14ac:dyDescent="0.25">
      <c r="A43" s="49" t="s">
        <v>97</v>
      </c>
      <c r="B43" s="49"/>
      <c r="C43" s="49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</row>
    <row r="44" spans="1:18" x14ac:dyDescent="0.25">
      <c r="A44" s="8" t="s">
        <v>207</v>
      </c>
      <c r="B44" s="8" t="str">
        <f>'КВ (установка)'!B58</f>
        <v>PZ.0060.0070</v>
      </c>
      <c r="C44" s="8" t="str">
        <f>'КВ (установка)'!C58</f>
        <v>Крышка</v>
      </c>
      <c r="D44" s="3" t="s">
        <v>15</v>
      </c>
      <c r="E44" s="2" t="s">
        <v>17</v>
      </c>
      <c r="F44" s="2" t="s">
        <v>20</v>
      </c>
      <c r="G44" s="11">
        <v>46279</v>
      </c>
      <c r="H44" s="2" t="s">
        <v>21</v>
      </c>
      <c r="I44" s="11">
        <v>46279</v>
      </c>
      <c r="J44" s="2" t="s">
        <v>19</v>
      </c>
      <c r="K44" s="2" t="s">
        <v>19</v>
      </c>
      <c r="L44" s="2" t="s">
        <v>21</v>
      </c>
      <c r="M44" s="11">
        <v>46279</v>
      </c>
      <c r="N44" s="2" t="s">
        <v>21</v>
      </c>
      <c r="O44" s="11">
        <v>46279</v>
      </c>
      <c r="P44" s="2" t="s">
        <v>76</v>
      </c>
      <c r="Q44" s="11">
        <v>46279</v>
      </c>
      <c r="R44" s="2" t="s">
        <v>29</v>
      </c>
    </row>
    <row r="45" spans="1:18" x14ac:dyDescent="0.25">
      <c r="A45" s="8" t="s">
        <v>207</v>
      </c>
      <c r="B45" s="8" t="str">
        <f>'КВ (установка)'!B59</f>
        <v>PZ.0060.0071</v>
      </c>
      <c r="C45" s="8" t="str">
        <f>'КВ (установка)'!C59</f>
        <v>Планка запорная</v>
      </c>
      <c r="D45" s="3" t="s">
        <v>15</v>
      </c>
      <c r="E45" s="2" t="s">
        <v>17</v>
      </c>
      <c r="F45" s="2" t="s">
        <v>20</v>
      </c>
      <c r="G45" s="11">
        <v>46083</v>
      </c>
      <c r="H45" s="2" t="s">
        <v>21</v>
      </c>
      <c r="I45" s="11">
        <v>46083</v>
      </c>
      <c r="J45" s="2" t="s">
        <v>19</v>
      </c>
      <c r="K45" s="2" t="s">
        <v>19</v>
      </c>
      <c r="L45" s="2" t="s">
        <v>21</v>
      </c>
      <c r="M45" s="11">
        <v>46083</v>
      </c>
      <c r="N45" s="2" t="s">
        <v>21</v>
      </c>
      <c r="O45" s="11">
        <v>46083</v>
      </c>
      <c r="P45" s="2" t="s">
        <v>76</v>
      </c>
      <c r="Q45" s="11">
        <v>46083</v>
      </c>
      <c r="R45" s="2" t="s">
        <v>29</v>
      </c>
    </row>
    <row r="46" spans="1:18" x14ac:dyDescent="0.25">
      <c r="A46" s="8" t="s">
        <v>207</v>
      </c>
      <c r="B46" s="8" t="str">
        <f>'КВ (установка)'!B60</f>
        <v>PZ.0060.0072</v>
      </c>
      <c r="C46" s="8" t="str">
        <f>'КВ (установка)'!C60</f>
        <v>Шайба запорной планки</v>
      </c>
      <c r="D46" s="3" t="s">
        <v>15</v>
      </c>
      <c r="E46" s="2" t="s">
        <v>17</v>
      </c>
      <c r="F46" s="2" t="s">
        <v>20</v>
      </c>
      <c r="G46" s="11">
        <v>46083</v>
      </c>
      <c r="H46" s="2" t="s">
        <v>21</v>
      </c>
      <c r="I46" s="11">
        <v>46083</v>
      </c>
      <c r="J46" s="2" t="s">
        <v>19</v>
      </c>
      <c r="K46" s="2" t="s">
        <v>19</v>
      </c>
      <c r="L46" s="2" t="s">
        <v>21</v>
      </c>
      <c r="M46" s="11">
        <v>46083</v>
      </c>
      <c r="N46" s="2" t="s">
        <v>21</v>
      </c>
      <c r="O46" s="11">
        <v>46083</v>
      </c>
      <c r="P46" s="2" t="s">
        <v>76</v>
      </c>
      <c r="Q46" s="11">
        <v>46083</v>
      </c>
      <c r="R46" s="2" t="s">
        <v>29</v>
      </c>
    </row>
    <row r="47" spans="1:18" ht="28.5" x14ac:dyDescent="0.25">
      <c r="A47" s="8" t="s">
        <v>207</v>
      </c>
      <c r="B47" s="8" t="str">
        <f>'КВ (установка)'!B61</f>
        <v>PZ.0060.0073</v>
      </c>
      <c r="C47" s="8" t="str">
        <f>'КВ (установка)'!C61</f>
        <v>Лента противопожарная вертикальная</v>
      </c>
      <c r="D47" s="3" t="s">
        <v>15</v>
      </c>
      <c r="E47" s="2" t="s">
        <v>17</v>
      </c>
      <c r="F47" s="2" t="s">
        <v>20</v>
      </c>
      <c r="G47" s="11">
        <v>46083</v>
      </c>
      <c r="H47" s="2" t="s">
        <v>21</v>
      </c>
      <c r="I47" s="11">
        <v>46083</v>
      </c>
      <c r="J47" s="2" t="s">
        <v>19</v>
      </c>
      <c r="K47" s="2" t="s">
        <v>19</v>
      </c>
      <c r="L47" s="2" t="s">
        <v>21</v>
      </c>
      <c r="M47" s="11">
        <v>46083</v>
      </c>
      <c r="N47" s="2" t="s">
        <v>21</v>
      </c>
      <c r="O47" s="11">
        <v>46083</v>
      </c>
      <c r="P47" s="2" t="s">
        <v>76</v>
      </c>
      <c r="Q47" s="11">
        <v>46083</v>
      </c>
      <c r="R47" s="2" t="s">
        <v>29</v>
      </c>
    </row>
    <row r="48" spans="1:18" ht="28.5" x14ac:dyDescent="0.25">
      <c r="A48" s="8" t="s">
        <v>207</v>
      </c>
      <c r="B48" s="8" t="str">
        <f>'КВ (установка)'!B62</f>
        <v>PZ.0060.0074</v>
      </c>
      <c r="C48" s="8" t="str">
        <f>'КВ (установка)'!C62</f>
        <v>Лента противопожарная горизонтальная</v>
      </c>
      <c r="D48" s="3" t="s">
        <v>15</v>
      </c>
      <c r="E48" s="2" t="s">
        <v>17</v>
      </c>
      <c r="F48" s="2" t="s">
        <v>20</v>
      </c>
      <c r="G48" s="11">
        <v>46083</v>
      </c>
      <c r="H48" s="2" t="s">
        <v>21</v>
      </c>
      <c r="I48" s="11">
        <v>46083</v>
      </c>
      <c r="J48" s="2" t="s">
        <v>19</v>
      </c>
      <c r="K48" s="2" t="s">
        <v>19</v>
      </c>
      <c r="L48" s="2" t="s">
        <v>21</v>
      </c>
      <c r="M48" s="11">
        <v>46083</v>
      </c>
      <c r="N48" s="2" t="s">
        <v>21</v>
      </c>
      <c r="O48" s="11">
        <v>46083</v>
      </c>
      <c r="P48" s="2" t="s">
        <v>76</v>
      </c>
      <c r="Q48" s="11">
        <v>46083</v>
      </c>
      <c r="R48" s="2" t="s">
        <v>29</v>
      </c>
    </row>
    <row r="49" spans="1:18" x14ac:dyDescent="0.25">
      <c r="A49" s="49" t="s">
        <v>98</v>
      </c>
      <c r="B49" s="49"/>
      <c r="C49" s="49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</row>
    <row r="50" spans="1:18" ht="28.5" x14ac:dyDescent="0.25">
      <c r="A50" s="8" t="str">
        <f>(IF((E50 = "Пр-во"), (B50 &amp; " - " &amp; C50), C50)) &amp; IF(D50="Сборка", ".iam", ".ipt")</f>
        <v>Гайка c фланцем и насечкой DIN 6923-M3-A2.ipt</v>
      </c>
      <c r="B50" s="8" t="str">
        <f>'КВ (установка)'!B64</f>
        <v>-</v>
      </c>
      <c r="C50" s="8" t="str">
        <f>'КВ (установка)'!C64</f>
        <v>Гайка c фланцем и насечкой DIN 6923-M3-A2</v>
      </c>
      <c r="D50" s="3" t="s">
        <v>15</v>
      </c>
      <c r="E50" s="3" t="s">
        <v>18</v>
      </c>
      <c r="F50" s="3" t="s">
        <v>19</v>
      </c>
      <c r="G50" s="3" t="s">
        <v>19</v>
      </c>
      <c r="H50" s="3" t="s">
        <v>19</v>
      </c>
      <c r="I50" s="3" t="s">
        <v>19</v>
      </c>
      <c r="J50" s="3" t="s">
        <v>19</v>
      </c>
      <c r="K50" s="3" t="s">
        <v>19</v>
      </c>
      <c r="L50" s="3" t="s">
        <v>19</v>
      </c>
      <c r="M50" s="3" t="s">
        <v>19</v>
      </c>
      <c r="N50" s="3" t="s">
        <v>19</v>
      </c>
      <c r="O50" s="3" t="s">
        <v>19</v>
      </c>
      <c r="P50" s="3" t="s">
        <v>19</v>
      </c>
      <c r="Q50" s="3" t="s">
        <v>19</v>
      </c>
      <c r="R50" s="3" t="s">
        <v>19</v>
      </c>
    </row>
    <row r="51" spans="1:18" ht="28.5" x14ac:dyDescent="0.25">
      <c r="A51" s="8" t="str">
        <f>(IF((E51 = "Пр-во"), (B51 &amp; " - " &amp; C51), C51)) &amp; IF(D51="Сборка", ".iam", ".ipt")</f>
        <v>Винт с потайной головкой DIN 965-M5x12.ipt</v>
      </c>
      <c r="B51" s="8" t="str">
        <f>'КВ (установка)'!B65</f>
        <v>-</v>
      </c>
      <c r="C51" s="8" t="str">
        <f>'КВ (установка)'!C65</f>
        <v>Винт с потайной головкой DIN 965-M5x12</v>
      </c>
      <c r="D51" s="3" t="s">
        <v>15</v>
      </c>
      <c r="E51" s="3" t="s">
        <v>18</v>
      </c>
      <c r="F51" s="3" t="s">
        <v>19</v>
      </c>
      <c r="G51" s="3" t="s">
        <v>19</v>
      </c>
      <c r="H51" s="3" t="s">
        <v>19</v>
      </c>
      <c r="I51" s="3" t="s">
        <v>19</v>
      </c>
      <c r="J51" s="3" t="s">
        <v>19</v>
      </c>
      <c r="K51" s="3" t="s">
        <v>19</v>
      </c>
      <c r="L51" s="3" t="s">
        <v>19</v>
      </c>
      <c r="M51" s="3" t="s">
        <v>19</v>
      </c>
      <c r="N51" s="3" t="s">
        <v>19</v>
      </c>
      <c r="O51" s="3" t="s">
        <v>19</v>
      </c>
      <c r="P51" s="3" t="s">
        <v>19</v>
      </c>
      <c r="Q51" s="3" t="s">
        <v>19</v>
      </c>
      <c r="R51" s="3" t="s">
        <v>19</v>
      </c>
    </row>
    <row r="52" spans="1:18" x14ac:dyDescent="0.25">
      <c r="A52" s="35" t="s">
        <v>99</v>
      </c>
      <c r="B52" s="35"/>
      <c r="C52" s="35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</row>
    <row r="53" spans="1:18" x14ac:dyDescent="0.25">
      <c r="A53" s="8" t="str">
        <f>(IF((E53 = "Пр-во"), (B53 &amp; " - " &amp; C53), C53)) &amp; IF(D53="Сборка", ".iam", ".ipt")</f>
        <v>PZ.0060.0080-0002 - Рамка в сборе.iam</v>
      </c>
      <c r="B53" s="2" t="str">
        <f>'КВ (установка)'!B68</f>
        <v>PZ.0060.0080-0002</v>
      </c>
      <c r="C53" s="36" t="str">
        <f>'КВ (установка)'!C68</f>
        <v>Рамка в сборе</v>
      </c>
      <c r="D53" s="2" t="s">
        <v>16</v>
      </c>
      <c r="E53" s="2" t="s">
        <v>17</v>
      </c>
      <c r="F53" s="2" t="s">
        <v>20</v>
      </c>
      <c r="G53" s="11">
        <v>46279</v>
      </c>
      <c r="H53" s="2" t="s">
        <v>21</v>
      </c>
      <c r="I53" s="11">
        <v>46279</v>
      </c>
      <c r="J53" s="2" t="s">
        <v>19</v>
      </c>
      <c r="K53" s="2" t="s">
        <v>19</v>
      </c>
      <c r="L53" s="2" t="s">
        <v>21</v>
      </c>
      <c r="M53" s="11">
        <v>46279</v>
      </c>
      <c r="N53" s="2" t="s">
        <v>21</v>
      </c>
      <c r="O53" s="11">
        <v>46279</v>
      </c>
      <c r="P53" s="2" t="s">
        <v>76</v>
      </c>
      <c r="Q53" s="11">
        <v>46279</v>
      </c>
      <c r="R53" s="2" t="s">
        <v>29</v>
      </c>
    </row>
    <row r="54" spans="1:18" x14ac:dyDescent="0.25">
      <c r="A54" s="35" t="s">
        <v>100</v>
      </c>
      <c r="B54" s="35"/>
      <c r="C54" s="35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</row>
    <row r="55" spans="1:18" x14ac:dyDescent="0.25">
      <c r="A55" s="8" t="s">
        <v>207</v>
      </c>
      <c r="B55" s="8" t="str">
        <f>'КВ (установка)'!B70</f>
        <v>PZ.0060.0085</v>
      </c>
      <c r="C55" s="8" t="str">
        <f>'КВ (установка)'!C70</f>
        <v>Пластина фронтальная</v>
      </c>
      <c r="D55" s="3" t="s">
        <v>15</v>
      </c>
      <c r="E55" s="2" t="s">
        <v>17</v>
      </c>
      <c r="F55" s="2" t="s">
        <v>20</v>
      </c>
      <c r="G55" s="11">
        <v>46279</v>
      </c>
      <c r="H55" s="2" t="s">
        <v>21</v>
      </c>
      <c r="I55" s="11">
        <v>46279</v>
      </c>
      <c r="J55" s="2" t="s">
        <v>19</v>
      </c>
      <c r="K55" s="2" t="s">
        <v>19</v>
      </c>
      <c r="L55" s="2" t="s">
        <v>21</v>
      </c>
      <c r="M55" s="11">
        <v>46279</v>
      </c>
      <c r="N55" s="2" t="s">
        <v>21</v>
      </c>
      <c r="O55" s="11">
        <v>46279</v>
      </c>
      <c r="P55" s="2" t="s">
        <v>76</v>
      </c>
      <c r="Q55" s="11">
        <v>46279</v>
      </c>
      <c r="R55" s="2" t="s">
        <v>29</v>
      </c>
    </row>
    <row r="56" spans="1:18" x14ac:dyDescent="0.25">
      <c r="A56" s="8" t="s">
        <v>207</v>
      </c>
      <c r="B56" s="8" t="str">
        <f>'КВ (установка)'!B71</f>
        <v>PZ.0060.0086</v>
      </c>
      <c r="C56" s="8" t="str">
        <f>'КВ (установка)'!C71</f>
        <v>Лист верхний</v>
      </c>
      <c r="D56" s="3" t="s">
        <v>15</v>
      </c>
      <c r="E56" s="2" t="s">
        <v>17</v>
      </c>
      <c r="F56" s="2" t="s">
        <v>20</v>
      </c>
      <c r="G56" s="11">
        <v>46241</v>
      </c>
      <c r="H56" s="2" t="s">
        <v>21</v>
      </c>
      <c r="I56" s="11">
        <v>46241</v>
      </c>
      <c r="J56" s="2" t="s">
        <v>19</v>
      </c>
      <c r="K56" s="2" t="s">
        <v>19</v>
      </c>
      <c r="L56" s="2" t="s">
        <v>21</v>
      </c>
      <c r="M56" s="11">
        <v>46241</v>
      </c>
      <c r="N56" s="2" t="s">
        <v>21</v>
      </c>
      <c r="O56" s="11">
        <v>46241</v>
      </c>
      <c r="P56" s="2" t="s">
        <v>76</v>
      </c>
      <c r="Q56" s="11">
        <v>46241</v>
      </c>
      <c r="R56" s="2" t="s">
        <v>29</v>
      </c>
    </row>
    <row r="57" spans="1:18" x14ac:dyDescent="0.25">
      <c r="A57" s="8" t="s">
        <v>207</v>
      </c>
      <c r="B57" s="8" t="str">
        <f>'КВ (установка)'!B72</f>
        <v>PZ.0060.0087</v>
      </c>
      <c r="C57" s="8" t="str">
        <f>'КВ (установка)'!C72</f>
        <v>Лист нижний</v>
      </c>
      <c r="D57" s="3" t="s">
        <v>15</v>
      </c>
      <c r="E57" s="2" t="s">
        <v>17</v>
      </c>
      <c r="F57" s="2" t="s">
        <v>20</v>
      </c>
      <c r="G57" s="11">
        <v>46241</v>
      </c>
      <c r="H57" s="2" t="s">
        <v>21</v>
      </c>
      <c r="I57" s="11">
        <v>46241</v>
      </c>
      <c r="J57" s="2" t="s">
        <v>19</v>
      </c>
      <c r="K57" s="2" t="s">
        <v>19</v>
      </c>
      <c r="L57" s="2" t="s">
        <v>21</v>
      </c>
      <c r="M57" s="11">
        <v>46241</v>
      </c>
      <c r="N57" s="2" t="s">
        <v>21</v>
      </c>
      <c r="O57" s="11">
        <v>46241</v>
      </c>
      <c r="P57" s="2" t="s">
        <v>76</v>
      </c>
      <c r="Q57" s="11">
        <v>46241</v>
      </c>
      <c r="R57" s="2" t="s">
        <v>29</v>
      </c>
    </row>
    <row r="58" spans="1:18" x14ac:dyDescent="0.25">
      <c r="A58" s="8" t="str">
        <f t="shared" ref="A58:A64" si="2">(IF((E58 = "Пр-во"), (B58 &amp; " - " &amp; C58), C58)) &amp; IF(D58="Сборка", ".iam", ".ipt")</f>
        <v>PZ.0060.0088-0002 - Лист правый.ipt</v>
      </c>
      <c r="B58" s="8" t="str">
        <f>'КВ (установка)'!B73</f>
        <v>PZ.0060.0088-0002</v>
      </c>
      <c r="C58" s="8" t="str">
        <f>'КВ (установка)'!C73</f>
        <v>Лист правый</v>
      </c>
      <c r="D58" s="3" t="s">
        <v>15</v>
      </c>
      <c r="E58" s="2" t="s">
        <v>17</v>
      </c>
      <c r="F58" s="2" t="s">
        <v>20</v>
      </c>
      <c r="G58" s="11">
        <v>46310</v>
      </c>
      <c r="H58" s="2" t="s">
        <v>21</v>
      </c>
      <c r="I58" s="11">
        <v>46310</v>
      </c>
      <c r="J58" s="2" t="s">
        <v>19</v>
      </c>
      <c r="K58" s="2" t="s">
        <v>19</v>
      </c>
      <c r="L58" s="2" t="s">
        <v>21</v>
      </c>
      <c r="M58" s="11">
        <v>46310</v>
      </c>
      <c r="N58" s="2" t="s">
        <v>21</v>
      </c>
      <c r="O58" s="11">
        <v>46310</v>
      </c>
      <c r="P58" s="2" t="s">
        <v>76</v>
      </c>
      <c r="Q58" s="11">
        <v>46310</v>
      </c>
      <c r="R58" s="2" t="s">
        <v>29</v>
      </c>
    </row>
    <row r="59" spans="1:18" x14ac:dyDescent="0.25">
      <c r="A59" s="8" t="s">
        <v>207</v>
      </c>
      <c r="B59" s="8" t="str">
        <f>'КВ (установка)'!B74</f>
        <v>PZ.0060.0089</v>
      </c>
      <c r="C59" s="8" t="str">
        <f>'КВ (установка)'!C74</f>
        <v>Лист левый</v>
      </c>
      <c r="D59" s="3" t="s">
        <v>15</v>
      </c>
      <c r="E59" s="2" t="s">
        <v>17</v>
      </c>
      <c r="F59" s="2" t="s">
        <v>20</v>
      </c>
      <c r="G59" s="11">
        <v>46241</v>
      </c>
      <c r="H59" s="2" t="s">
        <v>21</v>
      </c>
      <c r="I59" s="11">
        <v>46241</v>
      </c>
      <c r="J59" s="2" t="s">
        <v>19</v>
      </c>
      <c r="K59" s="2" t="s">
        <v>19</v>
      </c>
      <c r="L59" s="2" t="s">
        <v>21</v>
      </c>
      <c r="M59" s="11">
        <v>46241</v>
      </c>
      <c r="N59" s="2" t="s">
        <v>21</v>
      </c>
      <c r="O59" s="11">
        <v>46241</v>
      </c>
      <c r="P59" s="2" t="s">
        <v>76</v>
      </c>
      <c r="Q59" s="11">
        <v>46241</v>
      </c>
      <c r="R59" s="2" t="s">
        <v>29</v>
      </c>
    </row>
    <row r="60" spans="1:18" x14ac:dyDescent="0.25">
      <c r="A60" s="8" t="s">
        <v>207</v>
      </c>
      <c r="B60" s="8" t="str">
        <f>'КВ (установка)'!B75</f>
        <v>PZ.0060.0090</v>
      </c>
      <c r="C60" s="8" t="str">
        <f>'КВ (установка)'!C75</f>
        <v>Кронштейн петли</v>
      </c>
      <c r="D60" s="3" t="s">
        <v>15</v>
      </c>
      <c r="E60" s="2" t="s">
        <v>17</v>
      </c>
      <c r="F60" s="2" t="s">
        <v>20</v>
      </c>
      <c r="G60" s="11">
        <v>46241</v>
      </c>
      <c r="H60" s="2" t="s">
        <v>21</v>
      </c>
      <c r="I60" s="11">
        <v>46241</v>
      </c>
      <c r="J60" s="2" t="s">
        <v>19</v>
      </c>
      <c r="K60" s="2" t="s">
        <v>19</v>
      </c>
      <c r="L60" s="2" t="s">
        <v>21</v>
      </c>
      <c r="M60" s="11">
        <v>46241</v>
      </c>
      <c r="N60" s="2" t="s">
        <v>21</v>
      </c>
      <c r="O60" s="11">
        <v>46241</v>
      </c>
      <c r="P60" s="2" t="s">
        <v>76</v>
      </c>
      <c r="Q60" s="11">
        <v>46241</v>
      </c>
      <c r="R60" s="2" t="s">
        <v>29</v>
      </c>
    </row>
    <row r="61" spans="1:18" x14ac:dyDescent="0.25">
      <c r="A61" s="8" t="s">
        <v>207</v>
      </c>
      <c r="B61" s="8" t="str">
        <f>'КВ (установка)'!B76</f>
        <v>PZ.0060.0091</v>
      </c>
      <c r="C61" s="8" t="str">
        <f>'КВ (установка)'!C76</f>
        <v>Опора ленты вертикальной</v>
      </c>
      <c r="D61" s="3" t="s">
        <v>15</v>
      </c>
      <c r="E61" s="2" t="s">
        <v>17</v>
      </c>
      <c r="F61" s="2" t="s">
        <v>20</v>
      </c>
      <c r="G61" s="11">
        <v>46241</v>
      </c>
      <c r="H61" s="2" t="s">
        <v>21</v>
      </c>
      <c r="I61" s="11">
        <v>46241</v>
      </c>
      <c r="J61" s="2" t="s">
        <v>19</v>
      </c>
      <c r="K61" s="2" t="s">
        <v>19</v>
      </c>
      <c r="L61" s="2" t="s">
        <v>21</v>
      </c>
      <c r="M61" s="11">
        <v>46241</v>
      </c>
      <c r="N61" s="2" t="s">
        <v>21</v>
      </c>
      <c r="O61" s="11">
        <v>46241</v>
      </c>
      <c r="P61" s="2" t="s">
        <v>76</v>
      </c>
      <c r="Q61" s="11">
        <v>46241</v>
      </c>
      <c r="R61" s="2" t="s">
        <v>29</v>
      </c>
    </row>
    <row r="62" spans="1:18" ht="28.5" x14ac:dyDescent="0.25">
      <c r="A62" s="8" t="s">
        <v>207</v>
      </c>
      <c r="B62" s="8" t="str">
        <f>'КВ (установка)'!B77</f>
        <v>PZ.0060.0092</v>
      </c>
      <c r="C62" s="8" t="str">
        <f>'КВ (установка)'!C77</f>
        <v>Опора ленты горизонтальной</v>
      </c>
      <c r="D62" s="3" t="s">
        <v>15</v>
      </c>
      <c r="E62" s="2" t="s">
        <v>17</v>
      </c>
      <c r="F62" s="2" t="s">
        <v>20</v>
      </c>
      <c r="G62" s="11">
        <v>46241</v>
      </c>
      <c r="H62" s="2" t="s">
        <v>21</v>
      </c>
      <c r="I62" s="11">
        <v>46241</v>
      </c>
      <c r="J62" s="2" t="s">
        <v>19</v>
      </c>
      <c r="K62" s="2" t="s">
        <v>19</v>
      </c>
      <c r="L62" s="2" t="s">
        <v>21</v>
      </c>
      <c r="M62" s="11">
        <v>46241</v>
      </c>
      <c r="N62" s="2" t="s">
        <v>21</v>
      </c>
      <c r="O62" s="11">
        <v>46241</v>
      </c>
      <c r="P62" s="2" t="s">
        <v>76</v>
      </c>
      <c r="Q62" s="11">
        <v>46241</v>
      </c>
      <c r="R62" s="2" t="s">
        <v>29</v>
      </c>
    </row>
    <row r="63" spans="1:18" x14ac:dyDescent="0.25">
      <c r="A63" s="8" t="str">
        <f t="shared" ref="A63" si="3">(IF((E63 = "Пр-во"), (B63 &amp; " - " &amp; C63), C63)) &amp; IF(D63="Сборка", ".iam", ".ipt")</f>
        <v>PZ.0060.0093 - Лист упорный.ipt</v>
      </c>
      <c r="B63" s="8" t="str">
        <f>'КВ (установка)'!B78</f>
        <v>PZ.0060.0093</v>
      </c>
      <c r="C63" s="8" t="str">
        <f>'КВ (установка)'!C78</f>
        <v>Лист упорный</v>
      </c>
      <c r="D63" s="3" t="s">
        <v>15</v>
      </c>
      <c r="E63" s="2" t="s">
        <v>17</v>
      </c>
      <c r="F63" s="2" t="s">
        <v>20</v>
      </c>
      <c r="G63" s="11">
        <v>46310</v>
      </c>
      <c r="H63" s="2" t="s">
        <v>21</v>
      </c>
      <c r="I63" s="11">
        <v>46310</v>
      </c>
      <c r="J63" s="2" t="s">
        <v>19</v>
      </c>
      <c r="K63" s="2" t="s">
        <v>19</v>
      </c>
      <c r="L63" s="2" t="s">
        <v>21</v>
      </c>
      <c r="M63" s="11">
        <v>46310</v>
      </c>
      <c r="N63" s="2" t="s">
        <v>21</v>
      </c>
      <c r="O63" s="11">
        <v>46310</v>
      </c>
      <c r="P63" s="2" t="s">
        <v>76</v>
      </c>
      <c r="Q63" s="11">
        <v>46310</v>
      </c>
      <c r="R63" s="2" t="s">
        <v>29</v>
      </c>
    </row>
    <row r="64" spans="1:18" x14ac:dyDescent="0.25">
      <c r="A64" s="8" t="str">
        <f t="shared" si="2"/>
        <v>Петля с пружиной 189-10.ipt</v>
      </c>
      <c r="B64" s="8" t="str">
        <f>'КВ (установка)'!B79</f>
        <v>-</v>
      </c>
      <c r="C64" s="8" t="str">
        <f>'КВ (установка)'!C79</f>
        <v>Петля с пружиной 189-10</v>
      </c>
      <c r="D64" s="3" t="s">
        <v>15</v>
      </c>
      <c r="E64" s="3" t="s">
        <v>18</v>
      </c>
      <c r="F64" s="3" t="s">
        <v>19</v>
      </c>
      <c r="G64" s="3" t="s">
        <v>19</v>
      </c>
      <c r="H64" s="3" t="s">
        <v>19</v>
      </c>
      <c r="I64" s="3" t="s">
        <v>19</v>
      </c>
      <c r="J64" s="3" t="s">
        <v>19</v>
      </c>
      <c r="K64" s="3" t="s">
        <v>19</v>
      </c>
      <c r="L64" s="3" t="s">
        <v>19</v>
      </c>
      <c r="M64" s="3" t="s">
        <v>19</v>
      </c>
      <c r="N64" s="3" t="s">
        <v>19</v>
      </c>
      <c r="O64" s="3" t="s">
        <v>19</v>
      </c>
      <c r="P64" s="3" t="s">
        <v>19</v>
      </c>
      <c r="Q64" s="3" t="s">
        <v>19</v>
      </c>
      <c r="R64" s="3" t="s">
        <v>19</v>
      </c>
    </row>
    <row r="65" spans="1:18" x14ac:dyDescent="0.25">
      <c r="A65" s="38" t="s">
        <v>105</v>
      </c>
      <c r="B65" s="38"/>
      <c r="C65" s="38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</row>
    <row r="66" spans="1:18" x14ac:dyDescent="0.25">
      <c r="A66" s="8" t="str">
        <f>(IF((E66 = "Пр-во"), (B66 &amp; " - " &amp; C66), C66)) &amp; IF(D66="Сборка", ".iam", ".ipt")</f>
        <v>PZ.0060.0094-0002 - Лист рамки левый.ipt</v>
      </c>
      <c r="B66" s="8" t="str">
        <f>'КВ (установка)'!B81</f>
        <v>PZ.0060.0094-0002</v>
      </c>
      <c r="C66" s="8" t="str">
        <f>'КВ (установка)'!C81</f>
        <v>Лист рамки левый</v>
      </c>
      <c r="D66" s="3" t="s">
        <v>15</v>
      </c>
      <c r="E66" s="2" t="s">
        <v>17</v>
      </c>
      <c r="F66" s="2" t="s">
        <v>20</v>
      </c>
      <c r="G66" s="11">
        <v>46279</v>
      </c>
      <c r="H66" s="2" t="s">
        <v>21</v>
      </c>
      <c r="I66" s="11">
        <v>46279</v>
      </c>
      <c r="J66" s="2" t="s">
        <v>19</v>
      </c>
      <c r="K66" s="2" t="s">
        <v>19</v>
      </c>
      <c r="L66" s="2" t="s">
        <v>21</v>
      </c>
      <c r="M66" s="11">
        <v>46279</v>
      </c>
      <c r="N66" s="2" t="s">
        <v>21</v>
      </c>
      <c r="O66" s="11">
        <v>46279</v>
      </c>
      <c r="P66" s="2" t="s">
        <v>76</v>
      </c>
      <c r="Q66" s="11">
        <v>46279</v>
      </c>
      <c r="R66" s="2" t="s">
        <v>29</v>
      </c>
    </row>
    <row r="67" spans="1:18" x14ac:dyDescent="0.25">
      <c r="A67" s="8" t="s">
        <v>207</v>
      </c>
      <c r="B67" s="8" t="str">
        <f>'КВ (установка)'!B82</f>
        <v>PZ.0060.0095</v>
      </c>
      <c r="C67" s="8" t="str">
        <f>'КВ (установка)'!C82</f>
        <v>Лист рамки правый</v>
      </c>
      <c r="D67" s="3" t="s">
        <v>15</v>
      </c>
      <c r="E67" s="2" t="s">
        <v>17</v>
      </c>
      <c r="F67" s="2" t="s">
        <v>20</v>
      </c>
      <c r="G67" s="11">
        <v>46279</v>
      </c>
      <c r="H67" s="2" t="s">
        <v>21</v>
      </c>
      <c r="I67" s="11">
        <v>46279</v>
      </c>
      <c r="J67" s="2" t="s">
        <v>19</v>
      </c>
      <c r="K67" s="2" t="s">
        <v>19</v>
      </c>
      <c r="L67" s="2" t="s">
        <v>21</v>
      </c>
      <c r="M67" s="11">
        <v>46279</v>
      </c>
      <c r="N67" s="2" t="s">
        <v>21</v>
      </c>
      <c r="O67" s="11">
        <v>46279</v>
      </c>
      <c r="P67" s="2" t="s">
        <v>76</v>
      </c>
      <c r="Q67" s="11">
        <v>46279</v>
      </c>
      <c r="R67" s="2" t="s">
        <v>29</v>
      </c>
    </row>
    <row r="68" spans="1:18" x14ac:dyDescent="0.25">
      <c r="A68" s="8" t="s">
        <v>207</v>
      </c>
      <c r="B68" s="8" t="str">
        <f>'КВ (установка)'!B83</f>
        <v>PZ.0060.0096</v>
      </c>
      <c r="C68" s="8" t="str">
        <f>'КВ (установка)'!C83</f>
        <v>Лист рамки горизонтальный</v>
      </c>
      <c r="D68" s="3" t="s">
        <v>15</v>
      </c>
      <c r="E68" s="2" t="s">
        <v>17</v>
      </c>
      <c r="F68" s="2" t="s">
        <v>20</v>
      </c>
      <c r="G68" s="11">
        <v>46279</v>
      </c>
      <c r="H68" s="2" t="s">
        <v>21</v>
      </c>
      <c r="I68" s="11">
        <v>46279</v>
      </c>
      <c r="J68" s="2" t="s">
        <v>19</v>
      </c>
      <c r="K68" s="2" t="s">
        <v>19</v>
      </c>
      <c r="L68" s="2" t="s">
        <v>21</v>
      </c>
      <c r="M68" s="11">
        <v>46279</v>
      </c>
      <c r="N68" s="2" t="s">
        <v>21</v>
      </c>
      <c r="O68" s="11">
        <v>46279</v>
      </c>
      <c r="P68" s="2" t="s">
        <v>76</v>
      </c>
      <c r="Q68" s="11">
        <v>46279</v>
      </c>
      <c r="R68" s="2" t="s">
        <v>29</v>
      </c>
    </row>
    <row r="69" spans="1:18" x14ac:dyDescent="0.25">
      <c r="A69" s="38" t="s">
        <v>107</v>
      </c>
      <c r="B69" s="38"/>
      <c r="C69" s="38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</row>
    <row r="70" spans="1:18" ht="28.5" x14ac:dyDescent="0.25">
      <c r="A70" s="8" t="str">
        <f>(IF((E70 = "Пр-во"), (B70 &amp; " - " &amp; C70), C70)) &amp; IF(D70="Сборка", ".iam", ".ipt")</f>
        <v>Гайка приварная DIN 929 - М5 - St.ipt</v>
      </c>
      <c r="B70" s="8" t="str">
        <f>'КВ (установка)'!B85</f>
        <v>-</v>
      </c>
      <c r="C70" s="8" t="str">
        <f>'КВ (установка)'!C85</f>
        <v>Гайка приварная DIN 929 - М5 - St</v>
      </c>
      <c r="D70" s="3" t="s">
        <v>15</v>
      </c>
      <c r="E70" s="3" t="s">
        <v>18</v>
      </c>
      <c r="F70" s="3" t="s">
        <v>19</v>
      </c>
      <c r="G70" s="3" t="s">
        <v>19</v>
      </c>
      <c r="H70" s="3" t="s">
        <v>19</v>
      </c>
      <c r="I70" s="3" t="s">
        <v>19</v>
      </c>
      <c r="J70" s="3" t="s">
        <v>19</v>
      </c>
      <c r="K70" s="3" t="s">
        <v>19</v>
      </c>
      <c r="L70" s="3" t="s">
        <v>19</v>
      </c>
      <c r="M70" s="3" t="s">
        <v>19</v>
      </c>
      <c r="N70" s="3" t="s">
        <v>19</v>
      </c>
      <c r="O70" s="3" t="s">
        <v>19</v>
      </c>
      <c r="P70" s="3" t="s">
        <v>19</v>
      </c>
      <c r="Q70" s="3" t="s">
        <v>19</v>
      </c>
      <c r="R70" s="3" t="s">
        <v>19</v>
      </c>
    </row>
    <row r="71" spans="1:18" x14ac:dyDescent="0.25">
      <c r="A71" s="40" t="s">
        <v>101</v>
      </c>
      <c r="B71" s="40"/>
      <c r="C71" s="40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</row>
    <row r="72" spans="1:18" ht="28.5" x14ac:dyDescent="0.25">
      <c r="A72" s="8" t="str">
        <f>(IF((E72 = "Пр-во"), (B72 &amp; " - " &amp; C72), C72)) &amp; IF(D72="Сборка", ".iam", ".ipt")</f>
        <v>Электромагнитный замок Kerong KR-S99N.iam</v>
      </c>
      <c r="B72" s="2" t="str">
        <f>'КВ (установка)'!B88</f>
        <v>-</v>
      </c>
      <c r="C72" s="2" t="str">
        <f>'КВ (установка)'!C88</f>
        <v>Электромагнитный замок Kerong KR-S99N</v>
      </c>
      <c r="D72" s="2" t="s">
        <v>16</v>
      </c>
      <c r="E72" s="3" t="s">
        <v>18</v>
      </c>
      <c r="F72" s="3" t="s">
        <v>19</v>
      </c>
      <c r="G72" s="3" t="s">
        <v>19</v>
      </c>
      <c r="H72" s="3" t="s">
        <v>19</v>
      </c>
      <c r="I72" s="3" t="s">
        <v>19</v>
      </c>
      <c r="J72" s="3" t="s">
        <v>19</v>
      </c>
      <c r="K72" s="3" t="s">
        <v>19</v>
      </c>
      <c r="L72" s="3" t="s">
        <v>19</v>
      </c>
      <c r="M72" s="3" t="s">
        <v>19</v>
      </c>
      <c r="N72" s="3" t="s">
        <v>19</v>
      </c>
      <c r="O72" s="3" t="s">
        <v>19</v>
      </c>
      <c r="P72" s="3" t="s">
        <v>19</v>
      </c>
      <c r="Q72" s="3" t="s">
        <v>19</v>
      </c>
      <c r="R72" s="3" t="s">
        <v>19</v>
      </c>
    </row>
    <row r="73" spans="1:18" x14ac:dyDescent="0.25">
      <c r="A73" s="40" t="s">
        <v>102</v>
      </c>
      <c r="B73" s="40"/>
      <c r="C73" s="40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</row>
    <row r="74" spans="1:18" ht="28.5" x14ac:dyDescent="0.25">
      <c r="A74" s="8" t="str">
        <f>(IF((E74 = "Пр-во"), (B74 &amp; " - " &amp; C74), C74)) &amp; IF(D74="Сборка", ".iam", ".ipt")</f>
        <v>Винт с шестигранной головкой DIN 912-M4x12.ipt</v>
      </c>
      <c r="B74" s="2" t="str">
        <f>'КВ (установка)'!B90</f>
        <v>-</v>
      </c>
      <c r="C74" s="2" t="str">
        <f>'КВ (установка)'!C90</f>
        <v>Винт с шестигранной головкой DIN 912-M4x12</v>
      </c>
      <c r="D74" s="3" t="s">
        <v>15</v>
      </c>
      <c r="E74" s="3" t="s">
        <v>18</v>
      </c>
      <c r="F74" s="3" t="s">
        <v>19</v>
      </c>
      <c r="G74" s="3" t="s">
        <v>19</v>
      </c>
      <c r="H74" s="3" t="s">
        <v>19</v>
      </c>
      <c r="I74" s="3" t="s">
        <v>19</v>
      </c>
      <c r="J74" s="3" t="s">
        <v>19</v>
      </c>
      <c r="K74" s="3" t="s">
        <v>19</v>
      </c>
      <c r="L74" s="3" t="s">
        <v>19</v>
      </c>
      <c r="M74" s="3" t="s">
        <v>19</v>
      </c>
      <c r="N74" s="3" t="s">
        <v>19</v>
      </c>
      <c r="O74" s="3" t="s">
        <v>19</v>
      </c>
      <c r="P74" s="3" t="s">
        <v>19</v>
      </c>
      <c r="Q74" s="3" t="s">
        <v>19</v>
      </c>
      <c r="R74" s="3" t="s">
        <v>19</v>
      </c>
    </row>
    <row r="75" spans="1:18" x14ac:dyDescent="0.25">
      <c r="A75" s="40" t="s">
        <v>106</v>
      </c>
      <c r="B75" s="40"/>
      <c r="C75" s="40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</row>
    <row r="76" spans="1:18" x14ac:dyDescent="0.25">
      <c r="A76" s="8" t="s">
        <v>207</v>
      </c>
      <c r="B76" s="2" t="str">
        <f>'КВ (установка)'!B92</f>
        <v>PZ.0060.0105</v>
      </c>
      <c r="C76" s="2" t="str">
        <f>'КВ (установка)'!C92</f>
        <v>Кронштейн</v>
      </c>
      <c r="D76" s="3" t="s">
        <v>15</v>
      </c>
      <c r="E76" s="2" t="s">
        <v>17</v>
      </c>
      <c r="F76" s="2" t="s">
        <v>20</v>
      </c>
      <c r="G76" s="11">
        <v>46083</v>
      </c>
      <c r="H76" s="2" t="s">
        <v>21</v>
      </c>
      <c r="I76" s="11">
        <v>46083</v>
      </c>
      <c r="J76" s="2" t="s">
        <v>19</v>
      </c>
      <c r="K76" s="2" t="s">
        <v>19</v>
      </c>
      <c r="L76" s="2" t="s">
        <v>21</v>
      </c>
      <c r="M76" s="11">
        <v>46083</v>
      </c>
      <c r="N76" s="2" t="s">
        <v>21</v>
      </c>
      <c r="O76" s="11">
        <v>46083</v>
      </c>
      <c r="P76" s="2" t="s">
        <v>76</v>
      </c>
      <c r="Q76" s="11">
        <v>46083</v>
      </c>
      <c r="R76" s="2" t="s">
        <v>29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86640-3ACF-4AB9-85B5-19B48B18F7B4}">
  <sheetPr>
    <outlinePr summaryBelow="0" summaryRight="0"/>
    <pageSetUpPr autoPageBreaks="0"/>
  </sheetPr>
  <dimension ref="A1:M98"/>
  <sheetViews>
    <sheetView topLeftCell="A62" zoomScale="115" zoomScaleNormal="115" workbookViewId="0">
      <selection activeCell="C79" sqref="C79"/>
    </sheetView>
  </sheetViews>
  <sheetFormatPr defaultColWidth="9.140625" defaultRowHeight="11.25" x14ac:dyDescent="0.25"/>
  <cols>
    <col min="1" max="1" width="5.5703125" style="12" customWidth="1"/>
    <col min="2" max="2" width="21.7109375" style="12" customWidth="1"/>
    <col min="3" max="3" width="49.5703125" style="12" customWidth="1"/>
    <col min="4" max="5" width="13.5703125" style="12" customWidth="1"/>
    <col min="6" max="7" width="30.28515625" style="12" customWidth="1"/>
    <col min="8" max="8" width="43.42578125" style="12" customWidth="1"/>
    <col min="9" max="9" width="34.7109375" style="12" customWidth="1"/>
    <col min="10" max="10" width="19" style="12" customWidth="1"/>
    <col min="11" max="11" width="24" style="12" customWidth="1"/>
    <col min="12" max="12" width="9.140625" style="12"/>
    <col min="13" max="13" width="33.42578125" style="12" customWidth="1"/>
    <col min="14" max="257" width="9.140625" style="12"/>
    <col min="258" max="258" width="5.5703125" style="12" customWidth="1"/>
    <col min="259" max="259" width="19.7109375" style="12" customWidth="1"/>
    <col min="260" max="260" width="34.28515625" style="12" customWidth="1"/>
    <col min="261" max="262" width="13.5703125" style="12" customWidth="1"/>
    <col min="263" max="263" width="38.42578125" style="12" customWidth="1"/>
    <col min="264" max="264" width="26.42578125" style="12" customWidth="1"/>
    <col min="265" max="265" width="38" style="12" customWidth="1"/>
    <col min="266" max="513" width="9.140625" style="12"/>
    <col min="514" max="514" width="5.5703125" style="12" customWidth="1"/>
    <col min="515" max="515" width="19.7109375" style="12" customWidth="1"/>
    <col min="516" max="516" width="34.28515625" style="12" customWidth="1"/>
    <col min="517" max="518" width="13.5703125" style="12" customWidth="1"/>
    <col min="519" max="519" width="38.42578125" style="12" customWidth="1"/>
    <col min="520" max="520" width="26.42578125" style="12" customWidth="1"/>
    <col min="521" max="521" width="38" style="12" customWidth="1"/>
    <col min="522" max="769" width="9.140625" style="12"/>
    <col min="770" max="770" width="5.5703125" style="12" customWidth="1"/>
    <col min="771" max="771" width="19.7109375" style="12" customWidth="1"/>
    <col min="772" max="772" width="34.28515625" style="12" customWidth="1"/>
    <col min="773" max="774" width="13.5703125" style="12" customWidth="1"/>
    <col min="775" max="775" width="38.42578125" style="12" customWidth="1"/>
    <col min="776" max="776" width="26.42578125" style="12" customWidth="1"/>
    <col min="777" max="777" width="38" style="12" customWidth="1"/>
    <col min="778" max="1025" width="9.140625" style="12"/>
    <col min="1026" max="1026" width="5.5703125" style="12" customWidth="1"/>
    <col min="1027" max="1027" width="19.7109375" style="12" customWidth="1"/>
    <col min="1028" max="1028" width="34.28515625" style="12" customWidth="1"/>
    <col min="1029" max="1030" width="13.5703125" style="12" customWidth="1"/>
    <col min="1031" max="1031" width="38.42578125" style="12" customWidth="1"/>
    <col min="1032" max="1032" width="26.42578125" style="12" customWidth="1"/>
    <col min="1033" max="1033" width="38" style="12" customWidth="1"/>
    <col min="1034" max="1281" width="9.140625" style="12"/>
    <col min="1282" max="1282" width="5.5703125" style="12" customWidth="1"/>
    <col min="1283" max="1283" width="19.7109375" style="12" customWidth="1"/>
    <col min="1284" max="1284" width="34.28515625" style="12" customWidth="1"/>
    <col min="1285" max="1286" width="13.5703125" style="12" customWidth="1"/>
    <col min="1287" max="1287" width="38.42578125" style="12" customWidth="1"/>
    <col min="1288" max="1288" width="26.42578125" style="12" customWidth="1"/>
    <col min="1289" max="1289" width="38" style="12" customWidth="1"/>
    <col min="1290" max="1537" width="9.140625" style="12"/>
    <col min="1538" max="1538" width="5.5703125" style="12" customWidth="1"/>
    <col min="1539" max="1539" width="19.7109375" style="12" customWidth="1"/>
    <col min="1540" max="1540" width="34.28515625" style="12" customWidth="1"/>
    <col min="1541" max="1542" width="13.5703125" style="12" customWidth="1"/>
    <col min="1543" max="1543" width="38.42578125" style="12" customWidth="1"/>
    <col min="1544" max="1544" width="26.42578125" style="12" customWidth="1"/>
    <col min="1545" max="1545" width="38" style="12" customWidth="1"/>
    <col min="1546" max="1793" width="9.140625" style="12"/>
    <col min="1794" max="1794" width="5.5703125" style="12" customWidth="1"/>
    <col min="1795" max="1795" width="19.7109375" style="12" customWidth="1"/>
    <col min="1796" max="1796" width="34.28515625" style="12" customWidth="1"/>
    <col min="1797" max="1798" width="13.5703125" style="12" customWidth="1"/>
    <col min="1799" max="1799" width="38.42578125" style="12" customWidth="1"/>
    <col min="1800" max="1800" width="26.42578125" style="12" customWidth="1"/>
    <col min="1801" max="1801" width="38" style="12" customWidth="1"/>
    <col min="1802" max="2049" width="9.140625" style="12"/>
    <col min="2050" max="2050" width="5.5703125" style="12" customWidth="1"/>
    <col min="2051" max="2051" width="19.7109375" style="12" customWidth="1"/>
    <col min="2052" max="2052" width="34.28515625" style="12" customWidth="1"/>
    <col min="2053" max="2054" width="13.5703125" style="12" customWidth="1"/>
    <col min="2055" max="2055" width="38.42578125" style="12" customWidth="1"/>
    <col min="2056" max="2056" width="26.42578125" style="12" customWidth="1"/>
    <col min="2057" max="2057" width="38" style="12" customWidth="1"/>
    <col min="2058" max="2305" width="9.140625" style="12"/>
    <col min="2306" max="2306" width="5.5703125" style="12" customWidth="1"/>
    <col min="2307" max="2307" width="19.7109375" style="12" customWidth="1"/>
    <col min="2308" max="2308" width="34.28515625" style="12" customWidth="1"/>
    <col min="2309" max="2310" width="13.5703125" style="12" customWidth="1"/>
    <col min="2311" max="2311" width="38.42578125" style="12" customWidth="1"/>
    <col min="2312" max="2312" width="26.42578125" style="12" customWidth="1"/>
    <col min="2313" max="2313" width="38" style="12" customWidth="1"/>
    <col min="2314" max="2561" width="9.140625" style="12"/>
    <col min="2562" max="2562" width="5.5703125" style="12" customWidth="1"/>
    <col min="2563" max="2563" width="19.7109375" style="12" customWidth="1"/>
    <col min="2564" max="2564" width="34.28515625" style="12" customWidth="1"/>
    <col min="2565" max="2566" width="13.5703125" style="12" customWidth="1"/>
    <col min="2567" max="2567" width="38.42578125" style="12" customWidth="1"/>
    <col min="2568" max="2568" width="26.42578125" style="12" customWidth="1"/>
    <col min="2569" max="2569" width="38" style="12" customWidth="1"/>
    <col min="2570" max="2817" width="9.140625" style="12"/>
    <col min="2818" max="2818" width="5.5703125" style="12" customWidth="1"/>
    <col min="2819" max="2819" width="19.7109375" style="12" customWidth="1"/>
    <col min="2820" max="2820" width="34.28515625" style="12" customWidth="1"/>
    <col min="2821" max="2822" width="13.5703125" style="12" customWidth="1"/>
    <col min="2823" max="2823" width="38.42578125" style="12" customWidth="1"/>
    <col min="2824" max="2824" width="26.42578125" style="12" customWidth="1"/>
    <col min="2825" max="2825" width="38" style="12" customWidth="1"/>
    <col min="2826" max="3073" width="9.140625" style="12"/>
    <col min="3074" max="3074" width="5.5703125" style="12" customWidth="1"/>
    <col min="3075" max="3075" width="19.7109375" style="12" customWidth="1"/>
    <col min="3076" max="3076" width="34.28515625" style="12" customWidth="1"/>
    <col min="3077" max="3078" width="13.5703125" style="12" customWidth="1"/>
    <col min="3079" max="3079" width="38.42578125" style="12" customWidth="1"/>
    <col min="3080" max="3080" width="26.42578125" style="12" customWidth="1"/>
    <col min="3081" max="3081" width="38" style="12" customWidth="1"/>
    <col min="3082" max="3329" width="9.140625" style="12"/>
    <col min="3330" max="3330" width="5.5703125" style="12" customWidth="1"/>
    <col min="3331" max="3331" width="19.7109375" style="12" customWidth="1"/>
    <col min="3332" max="3332" width="34.28515625" style="12" customWidth="1"/>
    <col min="3333" max="3334" width="13.5703125" style="12" customWidth="1"/>
    <col min="3335" max="3335" width="38.42578125" style="12" customWidth="1"/>
    <col min="3336" max="3336" width="26.42578125" style="12" customWidth="1"/>
    <col min="3337" max="3337" width="38" style="12" customWidth="1"/>
    <col min="3338" max="3585" width="9.140625" style="12"/>
    <col min="3586" max="3586" width="5.5703125" style="12" customWidth="1"/>
    <col min="3587" max="3587" width="19.7109375" style="12" customWidth="1"/>
    <col min="3588" max="3588" width="34.28515625" style="12" customWidth="1"/>
    <col min="3589" max="3590" width="13.5703125" style="12" customWidth="1"/>
    <col min="3591" max="3591" width="38.42578125" style="12" customWidth="1"/>
    <col min="3592" max="3592" width="26.42578125" style="12" customWidth="1"/>
    <col min="3593" max="3593" width="38" style="12" customWidth="1"/>
    <col min="3594" max="3841" width="9.140625" style="12"/>
    <col min="3842" max="3842" width="5.5703125" style="12" customWidth="1"/>
    <col min="3843" max="3843" width="19.7109375" style="12" customWidth="1"/>
    <col min="3844" max="3844" width="34.28515625" style="12" customWidth="1"/>
    <col min="3845" max="3846" width="13.5703125" style="12" customWidth="1"/>
    <col min="3847" max="3847" width="38.42578125" style="12" customWidth="1"/>
    <col min="3848" max="3848" width="26.42578125" style="12" customWidth="1"/>
    <col min="3849" max="3849" width="38" style="12" customWidth="1"/>
    <col min="3850" max="4097" width="9.140625" style="12"/>
    <col min="4098" max="4098" width="5.5703125" style="12" customWidth="1"/>
    <col min="4099" max="4099" width="19.7109375" style="12" customWidth="1"/>
    <col min="4100" max="4100" width="34.28515625" style="12" customWidth="1"/>
    <col min="4101" max="4102" width="13.5703125" style="12" customWidth="1"/>
    <col min="4103" max="4103" width="38.42578125" style="12" customWidth="1"/>
    <col min="4104" max="4104" width="26.42578125" style="12" customWidth="1"/>
    <col min="4105" max="4105" width="38" style="12" customWidth="1"/>
    <col min="4106" max="4353" width="9.140625" style="12"/>
    <col min="4354" max="4354" width="5.5703125" style="12" customWidth="1"/>
    <col min="4355" max="4355" width="19.7109375" style="12" customWidth="1"/>
    <col min="4356" max="4356" width="34.28515625" style="12" customWidth="1"/>
    <col min="4357" max="4358" width="13.5703125" style="12" customWidth="1"/>
    <col min="4359" max="4359" width="38.42578125" style="12" customWidth="1"/>
    <col min="4360" max="4360" width="26.42578125" style="12" customWidth="1"/>
    <col min="4361" max="4361" width="38" style="12" customWidth="1"/>
    <col min="4362" max="4609" width="9.140625" style="12"/>
    <col min="4610" max="4610" width="5.5703125" style="12" customWidth="1"/>
    <col min="4611" max="4611" width="19.7109375" style="12" customWidth="1"/>
    <col min="4612" max="4612" width="34.28515625" style="12" customWidth="1"/>
    <col min="4613" max="4614" width="13.5703125" style="12" customWidth="1"/>
    <col min="4615" max="4615" width="38.42578125" style="12" customWidth="1"/>
    <col min="4616" max="4616" width="26.42578125" style="12" customWidth="1"/>
    <col min="4617" max="4617" width="38" style="12" customWidth="1"/>
    <col min="4618" max="4865" width="9.140625" style="12"/>
    <col min="4866" max="4866" width="5.5703125" style="12" customWidth="1"/>
    <col min="4867" max="4867" width="19.7109375" style="12" customWidth="1"/>
    <col min="4868" max="4868" width="34.28515625" style="12" customWidth="1"/>
    <col min="4869" max="4870" width="13.5703125" style="12" customWidth="1"/>
    <col min="4871" max="4871" width="38.42578125" style="12" customWidth="1"/>
    <col min="4872" max="4872" width="26.42578125" style="12" customWidth="1"/>
    <col min="4873" max="4873" width="38" style="12" customWidth="1"/>
    <col min="4874" max="5121" width="9.140625" style="12"/>
    <col min="5122" max="5122" width="5.5703125" style="12" customWidth="1"/>
    <col min="5123" max="5123" width="19.7109375" style="12" customWidth="1"/>
    <col min="5124" max="5124" width="34.28515625" style="12" customWidth="1"/>
    <col min="5125" max="5126" width="13.5703125" style="12" customWidth="1"/>
    <col min="5127" max="5127" width="38.42578125" style="12" customWidth="1"/>
    <col min="5128" max="5128" width="26.42578125" style="12" customWidth="1"/>
    <col min="5129" max="5129" width="38" style="12" customWidth="1"/>
    <col min="5130" max="5377" width="9.140625" style="12"/>
    <col min="5378" max="5378" width="5.5703125" style="12" customWidth="1"/>
    <col min="5379" max="5379" width="19.7109375" style="12" customWidth="1"/>
    <col min="5380" max="5380" width="34.28515625" style="12" customWidth="1"/>
    <col min="5381" max="5382" width="13.5703125" style="12" customWidth="1"/>
    <col min="5383" max="5383" width="38.42578125" style="12" customWidth="1"/>
    <col min="5384" max="5384" width="26.42578125" style="12" customWidth="1"/>
    <col min="5385" max="5385" width="38" style="12" customWidth="1"/>
    <col min="5386" max="5633" width="9.140625" style="12"/>
    <col min="5634" max="5634" width="5.5703125" style="12" customWidth="1"/>
    <col min="5635" max="5635" width="19.7109375" style="12" customWidth="1"/>
    <col min="5636" max="5636" width="34.28515625" style="12" customWidth="1"/>
    <col min="5637" max="5638" width="13.5703125" style="12" customWidth="1"/>
    <col min="5639" max="5639" width="38.42578125" style="12" customWidth="1"/>
    <col min="5640" max="5640" width="26.42578125" style="12" customWidth="1"/>
    <col min="5641" max="5641" width="38" style="12" customWidth="1"/>
    <col min="5642" max="5889" width="9.140625" style="12"/>
    <col min="5890" max="5890" width="5.5703125" style="12" customWidth="1"/>
    <col min="5891" max="5891" width="19.7109375" style="12" customWidth="1"/>
    <col min="5892" max="5892" width="34.28515625" style="12" customWidth="1"/>
    <col min="5893" max="5894" width="13.5703125" style="12" customWidth="1"/>
    <col min="5895" max="5895" width="38.42578125" style="12" customWidth="1"/>
    <col min="5896" max="5896" width="26.42578125" style="12" customWidth="1"/>
    <col min="5897" max="5897" width="38" style="12" customWidth="1"/>
    <col min="5898" max="6145" width="9.140625" style="12"/>
    <col min="6146" max="6146" width="5.5703125" style="12" customWidth="1"/>
    <col min="6147" max="6147" width="19.7109375" style="12" customWidth="1"/>
    <col min="6148" max="6148" width="34.28515625" style="12" customWidth="1"/>
    <col min="6149" max="6150" width="13.5703125" style="12" customWidth="1"/>
    <col min="6151" max="6151" width="38.42578125" style="12" customWidth="1"/>
    <col min="6152" max="6152" width="26.42578125" style="12" customWidth="1"/>
    <col min="6153" max="6153" width="38" style="12" customWidth="1"/>
    <col min="6154" max="6401" width="9.140625" style="12"/>
    <col min="6402" max="6402" width="5.5703125" style="12" customWidth="1"/>
    <col min="6403" max="6403" width="19.7109375" style="12" customWidth="1"/>
    <col min="6404" max="6404" width="34.28515625" style="12" customWidth="1"/>
    <col min="6405" max="6406" width="13.5703125" style="12" customWidth="1"/>
    <col min="6407" max="6407" width="38.42578125" style="12" customWidth="1"/>
    <col min="6408" max="6408" width="26.42578125" style="12" customWidth="1"/>
    <col min="6409" max="6409" width="38" style="12" customWidth="1"/>
    <col min="6410" max="6657" width="9.140625" style="12"/>
    <col min="6658" max="6658" width="5.5703125" style="12" customWidth="1"/>
    <col min="6659" max="6659" width="19.7109375" style="12" customWidth="1"/>
    <col min="6660" max="6660" width="34.28515625" style="12" customWidth="1"/>
    <col min="6661" max="6662" width="13.5703125" style="12" customWidth="1"/>
    <col min="6663" max="6663" width="38.42578125" style="12" customWidth="1"/>
    <col min="6664" max="6664" width="26.42578125" style="12" customWidth="1"/>
    <col min="6665" max="6665" width="38" style="12" customWidth="1"/>
    <col min="6666" max="6913" width="9.140625" style="12"/>
    <col min="6914" max="6914" width="5.5703125" style="12" customWidth="1"/>
    <col min="6915" max="6915" width="19.7109375" style="12" customWidth="1"/>
    <col min="6916" max="6916" width="34.28515625" style="12" customWidth="1"/>
    <col min="6917" max="6918" width="13.5703125" style="12" customWidth="1"/>
    <col min="6919" max="6919" width="38.42578125" style="12" customWidth="1"/>
    <col min="6920" max="6920" width="26.42578125" style="12" customWidth="1"/>
    <col min="6921" max="6921" width="38" style="12" customWidth="1"/>
    <col min="6922" max="7169" width="9.140625" style="12"/>
    <col min="7170" max="7170" width="5.5703125" style="12" customWidth="1"/>
    <col min="7171" max="7171" width="19.7109375" style="12" customWidth="1"/>
    <col min="7172" max="7172" width="34.28515625" style="12" customWidth="1"/>
    <col min="7173" max="7174" width="13.5703125" style="12" customWidth="1"/>
    <col min="7175" max="7175" width="38.42578125" style="12" customWidth="1"/>
    <col min="7176" max="7176" width="26.42578125" style="12" customWidth="1"/>
    <col min="7177" max="7177" width="38" style="12" customWidth="1"/>
    <col min="7178" max="7425" width="9.140625" style="12"/>
    <col min="7426" max="7426" width="5.5703125" style="12" customWidth="1"/>
    <col min="7427" max="7427" width="19.7109375" style="12" customWidth="1"/>
    <col min="7428" max="7428" width="34.28515625" style="12" customWidth="1"/>
    <col min="7429" max="7430" width="13.5703125" style="12" customWidth="1"/>
    <col min="7431" max="7431" width="38.42578125" style="12" customWidth="1"/>
    <col min="7432" max="7432" width="26.42578125" style="12" customWidth="1"/>
    <col min="7433" max="7433" width="38" style="12" customWidth="1"/>
    <col min="7434" max="7681" width="9.140625" style="12"/>
    <col min="7682" max="7682" width="5.5703125" style="12" customWidth="1"/>
    <col min="7683" max="7683" width="19.7109375" style="12" customWidth="1"/>
    <col min="7684" max="7684" width="34.28515625" style="12" customWidth="1"/>
    <col min="7685" max="7686" width="13.5703125" style="12" customWidth="1"/>
    <col min="7687" max="7687" width="38.42578125" style="12" customWidth="1"/>
    <col min="7688" max="7688" width="26.42578125" style="12" customWidth="1"/>
    <col min="7689" max="7689" width="38" style="12" customWidth="1"/>
    <col min="7690" max="7937" width="9.140625" style="12"/>
    <col min="7938" max="7938" width="5.5703125" style="12" customWidth="1"/>
    <col min="7939" max="7939" width="19.7109375" style="12" customWidth="1"/>
    <col min="7940" max="7940" width="34.28515625" style="12" customWidth="1"/>
    <col min="7941" max="7942" width="13.5703125" style="12" customWidth="1"/>
    <col min="7943" max="7943" width="38.42578125" style="12" customWidth="1"/>
    <col min="7944" max="7944" width="26.42578125" style="12" customWidth="1"/>
    <col min="7945" max="7945" width="38" style="12" customWidth="1"/>
    <col min="7946" max="8193" width="9.140625" style="12"/>
    <col min="8194" max="8194" width="5.5703125" style="12" customWidth="1"/>
    <col min="8195" max="8195" width="19.7109375" style="12" customWidth="1"/>
    <col min="8196" max="8196" width="34.28515625" style="12" customWidth="1"/>
    <col min="8197" max="8198" width="13.5703125" style="12" customWidth="1"/>
    <col min="8199" max="8199" width="38.42578125" style="12" customWidth="1"/>
    <col min="8200" max="8200" width="26.42578125" style="12" customWidth="1"/>
    <col min="8201" max="8201" width="38" style="12" customWidth="1"/>
    <col min="8202" max="8449" width="9.140625" style="12"/>
    <col min="8450" max="8450" width="5.5703125" style="12" customWidth="1"/>
    <col min="8451" max="8451" width="19.7109375" style="12" customWidth="1"/>
    <col min="8452" max="8452" width="34.28515625" style="12" customWidth="1"/>
    <col min="8453" max="8454" width="13.5703125" style="12" customWidth="1"/>
    <col min="8455" max="8455" width="38.42578125" style="12" customWidth="1"/>
    <col min="8456" max="8456" width="26.42578125" style="12" customWidth="1"/>
    <col min="8457" max="8457" width="38" style="12" customWidth="1"/>
    <col min="8458" max="8705" width="9.140625" style="12"/>
    <col min="8706" max="8706" width="5.5703125" style="12" customWidth="1"/>
    <col min="8707" max="8707" width="19.7109375" style="12" customWidth="1"/>
    <col min="8708" max="8708" width="34.28515625" style="12" customWidth="1"/>
    <col min="8709" max="8710" width="13.5703125" style="12" customWidth="1"/>
    <col min="8711" max="8711" width="38.42578125" style="12" customWidth="1"/>
    <col min="8712" max="8712" width="26.42578125" style="12" customWidth="1"/>
    <col min="8713" max="8713" width="38" style="12" customWidth="1"/>
    <col min="8714" max="8961" width="9.140625" style="12"/>
    <col min="8962" max="8962" width="5.5703125" style="12" customWidth="1"/>
    <col min="8963" max="8963" width="19.7109375" style="12" customWidth="1"/>
    <col min="8964" max="8964" width="34.28515625" style="12" customWidth="1"/>
    <col min="8965" max="8966" width="13.5703125" style="12" customWidth="1"/>
    <col min="8967" max="8967" width="38.42578125" style="12" customWidth="1"/>
    <col min="8968" max="8968" width="26.42578125" style="12" customWidth="1"/>
    <col min="8969" max="8969" width="38" style="12" customWidth="1"/>
    <col min="8970" max="9217" width="9.140625" style="12"/>
    <col min="9218" max="9218" width="5.5703125" style="12" customWidth="1"/>
    <col min="9219" max="9219" width="19.7109375" style="12" customWidth="1"/>
    <col min="9220" max="9220" width="34.28515625" style="12" customWidth="1"/>
    <col min="9221" max="9222" width="13.5703125" style="12" customWidth="1"/>
    <col min="9223" max="9223" width="38.42578125" style="12" customWidth="1"/>
    <col min="9224" max="9224" width="26.42578125" style="12" customWidth="1"/>
    <col min="9225" max="9225" width="38" style="12" customWidth="1"/>
    <col min="9226" max="9473" width="9.140625" style="12"/>
    <col min="9474" max="9474" width="5.5703125" style="12" customWidth="1"/>
    <col min="9475" max="9475" width="19.7109375" style="12" customWidth="1"/>
    <col min="9476" max="9476" width="34.28515625" style="12" customWidth="1"/>
    <col min="9477" max="9478" width="13.5703125" style="12" customWidth="1"/>
    <col min="9479" max="9479" width="38.42578125" style="12" customWidth="1"/>
    <col min="9480" max="9480" width="26.42578125" style="12" customWidth="1"/>
    <col min="9481" max="9481" width="38" style="12" customWidth="1"/>
    <col min="9482" max="9729" width="9.140625" style="12"/>
    <col min="9730" max="9730" width="5.5703125" style="12" customWidth="1"/>
    <col min="9731" max="9731" width="19.7109375" style="12" customWidth="1"/>
    <col min="9732" max="9732" width="34.28515625" style="12" customWidth="1"/>
    <col min="9733" max="9734" width="13.5703125" style="12" customWidth="1"/>
    <col min="9735" max="9735" width="38.42578125" style="12" customWidth="1"/>
    <col min="9736" max="9736" width="26.42578125" style="12" customWidth="1"/>
    <col min="9737" max="9737" width="38" style="12" customWidth="1"/>
    <col min="9738" max="9985" width="9.140625" style="12"/>
    <col min="9986" max="9986" width="5.5703125" style="12" customWidth="1"/>
    <col min="9987" max="9987" width="19.7109375" style="12" customWidth="1"/>
    <col min="9988" max="9988" width="34.28515625" style="12" customWidth="1"/>
    <col min="9989" max="9990" width="13.5703125" style="12" customWidth="1"/>
    <col min="9991" max="9991" width="38.42578125" style="12" customWidth="1"/>
    <col min="9992" max="9992" width="26.42578125" style="12" customWidth="1"/>
    <col min="9993" max="9993" width="38" style="12" customWidth="1"/>
    <col min="9994" max="10241" width="9.140625" style="12"/>
    <col min="10242" max="10242" width="5.5703125" style="12" customWidth="1"/>
    <col min="10243" max="10243" width="19.7109375" style="12" customWidth="1"/>
    <col min="10244" max="10244" width="34.28515625" style="12" customWidth="1"/>
    <col min="10245" max="10246" width="13.5703125" style="12" customWidth="1"/>
    <col min="10247" max="10247" width="38.42578125" style="12" customWidth="1"/>
    <col min="10248" max="10248" width="26.42578125" style="12" customWidth="1"/>
    <col min="10249" max="10249" width="38" style="12" customWidth="1"/>
    <col min="10250" max="10497" width="9.140625" style="12"/>
    <col min="10498" max="10498" width="5.5703125" style="12" customWidth="1"/>
    <col min="10499" max="10499" width="19.7109375" style="12" customWidth="1"/>
    <col min="10500" max="10500" width="34.28515625" style="12" customWidth="1"/>
    <col min="10501" max="10502" width="13.5703125" style="12" customWidth="1"/>
    <col min="10503" max="10503" width="38.42578125" style="12" customWidth="1"/>
    <col min="10504" max="10504" width="26.42578125" style="12" customWidth="1"/>
    <col min="10505" max="10505" width="38" style="12" customWidth="1"/>
    <col min="10506" max="10753" width="9.140625" style="12"/>
    <col min="10754" max="10754" width="5.5703125" style="12" customWidth="1"/>
    <col min="10755" max="10755" width="19.7109375" style="12" customWidth="1"/>
    <col min="10756" max="10756" width="34.28515625" style="12" customWidth="1"/>
    <col min="10757" max="10758" width="13.5703125" style="12" customWidth="1"/>
    <col min="10759" max="10759" width="38.42578125" style="12" customWidth="1"/>
    <col min="10760" max="10760" width="26.42578125" style="12" customWidth="1"/>
    <col min="10761" max="10761" width="38" style="12" customWidth="1"/>
    <col min="10762" max="11009" width="9.140625" style="12"/>
    <col min="11010" max="11010" width="5.5703125" style="12" customWidth="1"/>
    <col min="11011" max="11011" width="19.7109375" style="12" customWidth="1"/>
    <col min="11012" max="11012" width="34.28515625" style="12" customWidth="1"/>
    <col min="11013" max="11014" width="13.5703125" style="12" customWidth="1"/>
    <col min="11015" max="11015" width="38.42578125" style="12" customWidth="1"/>
    <col min="11016" max="11016" width="26.42578125" style="12" customWidth="1"/>
    <col min="11017" max="11017" width="38" style="12" customWidth="1"/>
    <col min="11018" max="11265" width="9.140625" style="12"/>
    <col min="11266" max="11266" width="5.5703125" style="12" customWidth="1"/>
    <col min="11267" max="11267" width="19.7109375" style="12" customWidth="1"/>
    <col min="11268" max="11268" width="34.28515625" style="12" customWidth="1"/>
    <col min="11269" max="11270" width="13.5703125" style="12" customWidth="1"/>
    <col min="11271" max="11271" width="38.42578125" style="12" customWidth="1"/>
    <col min="11272" max="11272" width="26.42578125" style="12" customWidth="1"/>
    <col min="11273" max="11273" width="38" style="12" customWidth="1"/>
    <col min="11274" max="11521" width="9.140625" style="12"/>
    <col min="11522" max="11522" width="5.5703125" style="12" customWidth="1"/>
    <col min="11523" max="11523" width="19.7109375" style="12" customWidth="1"/>
    <col min="11524" max="11524" width="34.28515625" style="12" customWidth="1"/>
    <col min="11525" max="11526" width="13.5703125" style="12" customWidth="1"/>
    <col min="11527" max="11527" width="38.42578125" style="12" customWidth="1"/>
    <col min="11528" max="11528" width="26.42578125" style="12" customWidth="1"/>
    <col min="11529" max="11529" width="38" style="12" customWidth="1"/>
    <col min="11530" max="11777" width="9.140625" style="12"/>
    <col min="11778" max="11778" width="5.5703125" style="12" customWidth="1"/>
    <col min="11779" max="11779" width="19.7109375" style="12" customWidth="1"/>
    <col min="11780" max="11780" width="34.28515625" style="12" customWidth="1"/>
    <col min="11781" max="11782" width="13.5703125" style="12" customWidth="1"/>
    <col min="11783" max="11783" width="38.42578125" style="12" customWidth="1"/>
    <col min="11784" max="11784" width="26.42578125" style="12" customWidth="1"/>
    <col min="11785" max="11785" width="38" style="12" customWidth="1"/>
    <col min="11786" max="12033" width="9.140625" style="12"/>
    <col min="12034" max="12034" width="5.5703125" style="12" customWidth="1"/>
    <col min="12035" max="12035" width="19.7109375" style="12" customWidth="1"/>
    <col min="12036" max="12036" width="34.28515625" style="12" customWidth="1"/>
    <col min="12037" max="12038" width="13.5703125" style="12" customWidth="1"/>
    <col min="12039" max="12039" width="38.42578125" style="12" customWidth="1"/>
    <col min="12040" max="12040" width="26.42578125" style="12" customWidth="1"/>
    <col min="12041" max="12041" width="38" style="12" customWidth="1"/>
    <col min="12042" max="12289" width="9.140625" style="12"/>
    <col min="12290" max="12290" width="5.5703125" style="12" customWidth="1"/>
    <col min="12291" max="12291" width="19.7109375" style="12" customWidth="1"/>
    <col min="12292" max="12292" width="34.28515625" style="12" customWidth="1"/>
    <col min="12293" max="12294" width="13.5703125" style="12" customWidth="1"/>
    <col min="12295" max="12295" width="38.42578125" style="12" customWidth="1"/>
    <col min="12296" max="12296" width="26.42578125" style="12" customWidth="1"/>
    <col min="12297" max="12297" width="38" style="12" customWidth="1"/>
    <col min="12298" max="12545" width="9.140625" style="12"/>
    <col min="12546" max="12546" width="5.5703125" style="12" customWidth="1"/>
    <col min="12547" max="12547" width="19.7109375" style="12" customWidth="1"/>
    <col min="12548" max="12548" width="34.28515625" style="12" customWidth="1"/>
    <col min="12549" max="12550" width="13.5703125" style="12" customWidth="1"/>
    <col min="12551" max="12551" width="38.42578125" style="12" customWidth="1"/>
    <col min="12552" max="12552" width="26.42578125" style="12" customWidth="1"/>
    <col min="12553" max="12553" width="38" style="12" customWidth="1"/>
    <col min="12554" max="12801" width="9.140625" style="12"/>
    <col min="12802" max="12802" width="5.5703125" style="12" customWidth="1"/>
    <col min="12803" max="12803" width="19.7109375" style="12" customWidth="1"/>
    <col min="12804" max="12804" width="34.28515625" style="12" customWidth="1"/>
    <col min="12805" max="12806" width="13.5703125" style="12" customWidth="1"/>
    <col min="12807" max="12807" width="38.42578125" style="12" customWidth="1"/>
    <col min="12808" max="12808" width="26.42578125" style="12" customWidth="1"/>
    <col min="12809" max="12809" width="38" style="12" customWidth="1"/>
    <col min="12810" max="13057" width="9.140625" style="12"/>
    <col min="13058" max="13058" width="5.5703125" style="12" customWidth="1"/>
    <col min="13059" max="13059" width="19.7109375" style="12" customWidth="1"/>
    <col min="13060" max="13060" width="34.28515625" style="12" customWidth="1"/>
    <col min="13061" max="13062" width="13.5703125" style="12" customWidth="1"/>
    <col min="13063" max="13063" width="38.42578125" style="12" customWidth="1"/>
    <col min="13064" max="13064" width="26.42578125" style="12" customWidth="1"/>
    <col min="13065" max="13065" width="38" style="12" customWidth="1"/>
    <col min="13066" max="13313" width="9.140625" style="12"/>
    <col min="13314" max="13314" width="5.5703125" style="12" customWidth="1"/>
    <col min="13315" max="13315" width="19.7109375" style="12" customWidth="1"/>
    <col min="13316" max="13316" width="34.28515625" style="12" customWidth="1"/>
    <col min="13317" max="13318" width="13.5703125" style="12" customWidth="1"/>
    <col min="13319" max="13319" width="38.42578125" style="12" customWidth="1"/>
    <col min="13320" max="13320" width="26.42578125" style="12" customWidth="1"/>
    <col min="13321" max="13321" width="38" style="12" customWidth="1"/>
    <col min="13322" max="13569" width="9.140625" style="12"/>
    <col min="13570" max="13570" width="5.5703125" style="12" customWidth="1"/>
    <col min="13571" max="13571" width="19.7109375" style="12" customWidth="1"/>
    <col min="13572" max="13572" width="34.28515625" style="12" customWidth="1"/>
    <col min="13573" max="13574" width="13.5703125" style="12" customWidth="1"/>
    <col min="13575" max="13575" width="38.42578125" style="12" customWidth="1"/>
    <col min="13576" max="13576" width="26.42578125" style="12" customWidth="1"/>
    <col min="13577" max="13577" width="38" style="12" customWidth="1"/>
    <col min="13578" max="13825" width="9.140625" style="12"/>
    <col min="13826" max="13826" width="5.5703125" style="12" customWidth="1"/>
    <col min="13827" max="13827" width="19.7109375" style="12" customWidth="1"/>
    <col min="13828" max="13828" width="34.28515625" style="12" customWidth="1"/>
    <col min="13829" max="13830" width="13.5703125" style="12" customWidth="1"/>
    <col min="13831" max="13831" width="38.42578125" style="12" customWidth="1"/>
    <col min="13832" max="13832" width="26.42578125" style="12" customWidth="1"/>
    <col min="13833" max="13833" width="38" style="12" customWidth="1"/>
    <col min="13834" max="14081" width="9.140625" style="12"/>
    <col min="14082" max="14082" width="5.5703125" style="12" customWidth="1"/>
    <col min="14083" max="14083" width="19.7109375" style="12" customWidth="1"/>
    <col min="14084" max="14084" width="34.28515625" style="12" customWidth="1"/>
    <col min="14085" max="14086" width="13.5703125" style="12" customWidth="1"/>
    <col min="14087" max="14087" width="38.42578125" style="12" customWidth="1"/>
    <col min="14088" max="14088" width="26.42578125" style="12" customWidth="1"/>
    <col min="14089" max="14089" width="38" style="12" customWidth="1"/>
    <col min="14090" max="14337" width="9.140625" style="12"/>
    <col min="14338" max="14338" width="5.5703125" style="12" customWidth="1"/>
    <col min="14339" max="14339" width="19.7109375" style="12" customWidth="1"/>
    <col min="14340" max="14340" width="34.28515625" style="12" customWidth="1"/>
    <col min="14341" max="14342" width="13.5703125" style="12" customWidth="1"/>
    <col min="14343" max="14343" width="38.42578125" style="12" customWidth="1"/>
    <col min="14344" max="14344" width="26.42578125" style="12" customWidth="1"/>
    <col min="14345" max="14345" width="38" style="12" customWidth="1"/>
    <col min="14346" max="14593" width="9.140625" style="12"/>
    <col min="14594" max="14594" width="5.5703125" style="12" customWidth="1"/>
    <col min="14595" max="14595" width="19.7109375" style="12" customWidth="1"/>
    <col min="14596" max="14596" width="34.28515625" style="12" customWidth="1"/>
    <col min="14597" max="14598" width="13.5703125" style="12" customWidth="1"/>
    <col min="14599" max="14599" width="38.42578125" style="12" customWidth="1"/>
    <col min="14600" max="14600" width="26.42578125" style="12" customWidth="1"/>
    <col min="14601" max="14601" width="38" style="12" customWidth="1"/>
    <col min="14602" max="14849" width="9.140625" style="12"/>
    <col min="14850" max="14850" width="5.5703125" style="12" customWidth="1"/>
    <col min="14851" max="14851" width="19.7109375" style="12" customWidth="1"/>
    <col min="14852" max="14852" width="34.28515625" style="12" customWidth="1"/>
    <col min="14853" max="14854" width="13.5703125" style="12" customWidth="1"/>
    <col min="14855" max="14855" width="38.42578125" style="12" customWidth="1"/>
    <col min="14856" max="14856" width="26.42578125" style="12" customWidth="1"/>
    <col min="14857" max="14857" width="38" style="12" customWidth="1"/>
    <col min="14858" max="15105" width="9.140625" style="12"/>
    <col min="15106" max="15106" width="5.5703125" style="12" customWidth="1"/>
    <col min="15107" max="15107" width="19.7109375" style="12" customWidth="1"/>
    <col min="15108" max="15108" width="34.28515625" style="12" customWidth="1"/>
    <col min="15109" max="15110" width="13.5703125" style="12" customWidth="1"/>
    <col min="15111" max="15111" width="38.42578125" style="12" customWidth="1"/>
    <col min="15112" max="15112" width="26.42578125" style="12" customWidth="1"/>
    <col min="15113" max="15113" width="38" style="12" customWidth="1"/>
    <col min="15114" max="15361" width="9.140625" style="12"/>
    <col min="15362" max="15362" width="5.5703125" style="12" customWidth="1"/>
    <col min="15363" max="15363" width="19.7109375" style="12" customWidth="1"/>
    <col min="15364" max="15364" width="34.28515625" style="12" customWidth="1"/>
    <col min="15365" max="15366" width="13.5703125" style="12" customWidth="1"/>
    <col min="15367" max="15367" width="38.42578125" style="12" customWidth="1"/>
    <col min="15368" max="15368" width="26.42578125" style="12" customWidth="1"/>
    <col min="15369" max="15369" width="38" style="12" customWidth="1"/>
    <col min="15370" max="15617" width="9.140625" style="12"/>
    <col min="15618" max="15618" width="5.5703125" style="12" customWidth="1"/>
    <col min="15619" max="15619" width="19.7109375" style="12" customWidth="1"/>
    <col min="15620" max="15620" width="34.28515625" style="12" customWidth="1"/>
    <col min="15621" max="15622" width="13.5703125" style="12" customWidth="1"/>
    <col min="15623" max="15623" width="38.42578125" style="12" customWidth="1"/>
    <col min="15624" max="15624" width="26.42578125" style="12" customWidth="1"/>
    <col min="15625" max="15625" width="38" style="12" customWidth="1"/>
    <col min="15626" max="15873" width="9.140625" style="12"/>
    <col min="15874" max="15874" width="5.5703125" style="12" customWidth="1"/>
    <col min="15875" max="15875" width="19.7109375" style="12" customWidth="1"/>
    <col min="15876" max="15876" width="34.28515625" style="12" customWidth="1"/>
    <col min="15877" max="15878" width="13.5703125" style="12" customWidth="1"/>
    <col min="15879" max="15879" width="38.42578125" style="12" customWidth="1"/>
    <col min="15880" max="15880" width="26.42578125" style="12" customWidth="1"/>
    <col min="15881" max="15881" width="38" style="12" customWidth="1"/>
    <col min="15882" max="16129" width="9.140625" style="12"/>
    <col min="16130" max="16130" width="5.5703125" style="12" customWidth="1"/>
    <col min="16131" max="16131" width="19.7109375" style="12" customWidth="1"/>
    <col min="16132" max="16132" width="34.28515625" style="12" customWidth="1"/>
    <col min="16133" max="16134" width="13.5703125" style="12" customWidth="1"/>
    <col min="16135" max="16135" width="38.42578125" style="12" customWidth="1"/>
    <col min="16136" max="16136" width="26.42578125" style="12" customWidth="1"/>
    <col min="16137" max="16137" width="38" style="12" customWidth="1"/>
    <col min="16138" max="16384" width="9.140625" style="12"/>
  </cols>
  <sheetData>
    <row r="1" spans="1:13" ht="12" thickBot="1" x14ac:dyDescent="0.3">
      <c r="E1" s="12">
        <v>25</v>
      </c>
    </row>
    <row r="2" spans="1:13" ht="14.25" x14ac:dyDescent="0.25">
      <c r="A2" s="25"/>
      <c r="B2" s="26" t="s">
        <v>30</v>
      </c>
      <c r="C2" s="26" t="s">
        <v>51</v>
      </c>
      <c r="D2" s="112" t="s">
        <v>31</v>
      </c>
      <c r="E2" s="112"/>
      <c r="F2" s="26" t="s">
        <v>32</v>
      </c>
      <c r="G2" s="26"/>
      <c r="H2" s="26"/>
      <c r="I2" s="27"/>
      <c r="J2" s="75"/>
      <c r="K2" s="27"/>
    </row>
    <row r="3" spans="1:13" ht="58.5" thickBot="1" x14ac:dyDescent="0.3">
      <c r="A3" s="62" t="s">
        <v>33</v>
      </c>
      <c r="B3" s="63" t="s">
        <v>34</v>
      </c>
      <c r="C3" s="63" t="s">
        <v>12</v>
      </c>
      <c r="D3" s="64" t="s">
        <v>35</v>
      </c>
      <c r="E3" s="64" t="s">
        <v>36</v>
      </c>
      <c r="F3" s="63" t="s">
        <v>160</v>
      </c>
      <c r="G3" s="63" t="s">
        <v>64</v>
      </c>
      <c r="H3" s="63" t="s">
        <v>161</v>
      </c>
      <c r="I3" s="65" t="s">
        <v>37</v>
      </c>
      <c r="J3" s="18" t="s">
        <v>115</v>
      </c>
      <c r="K3" s="76" t="s">
        <v>116</v>
      </c>
      <c r="M3" s="12" t="s">
        <v>59</v>
      </c>
    </row>
    <row r="4" spans="1:13" ht="14.25" x14ac:dyDescent="0.25">
      <c r="A4" s="73" t="s">
        <v>103</v>
      </c>
      <c r="B4" s="60"/>
      <c r="C4" s="82"/>
      <c r="D4" s="83"/>
      <c r="E4" s="84"/>
      <c r="F4" s="82"/>
      <c r="G4" s="82"/>
      <c r="H4" s="82"/>
      <c r="I4" s="91"/>
      <c r="J4" s="85"/>
      <c r="K4" s="81"/>
      <c r="M4" s="23" t="s">
        <v>16</v>
      </c>
    </row>
    <row r="5" spans="1:13" ht="14.25" x14ac:dyDescent="0.25">
      <c r="A5" s="43"/>
      <c r="B5" s="41" t="s">
        <v>186</v>
      </c>
      <c r="C5" s="46" t="s">
        <v>166</v>
      </c>
      <c r="D5" s="42">
        <v>1</v>
      </c>
      <c r="E5" s="42">
        <f>D5*$E$1</f>
        <v>25</v>
      </c>
      <c r="F5" s="24" t="s">
        <v>70</v>
      </c>
      <c r="G5" s="52" t="s">
        <v>66</v>
      </c>
      <c r="H5" s="54"/>
      <c r="I5" s="92"/>
      <c r="J5" s="86"/>
      <c r="K5" s="78">
        <f>J5*E7</f>
        <v>0</v>
      </c>
    </row>
    <row r="6" spans="1:13" ht="14.25" x14ac:dyDescent="0.25">
      <c r="A6" s="73" t="s">
        <v>167</v>
      </c>
      <c r="B6" s="60"/>
      <c r="C6" s="82"/>
      <c r="D6" s="83"/>
      <c r="E6" s="84"/>
      <c r="F6" s="82"/>
      <c r="G6" s="82"/>
      <c r="H6" s="82"/>
      <c r="I6" s="91"/>
      <c r="J6" s="85"/>
      <c r="K6" s="81"/>
    </row>
    <row r="7" spans="1:13" ht="14.25" x14ac:dyDescent="0.25">
      <c r="A7" s="43"/>
      <c r="B7" s="41" t="s">
        <v>187</v>
      </c>
      <c r="C7" s="46" t="s">
        <v>38</v>
      </c>
      <c r="D7" s="42">
        <v>1</v>
      </c>
      <c r="E7" s="42">
        <f>D7*$E$1</f>
        <v>25</v>
      </c>
      <c r="F7" s="24" t="s">
        <v>70</v>
      </c>
      <c r="G7" s="52" t="s">
        <v>66</v>
      </c>
      <c r="H7" s="54"/>
      <c r="I7" s="92"/>
      <c r="J7" s="86"/>
      <c r="K7" s="78"/>
    </row>
    <row r="8" spans="1:13" ht="14.25" x14ac:dyDescent="0.25">
      <c r="A8" s="43"/>
      <c r="B8" s="52" t="s">
        <v>188</v>
      </c>
      <c r="C8" s="46" t="s">
        <v>50</v>
      </c>
      <c r="D8" s="56">
        <v>1</v>
      </c>
      <c r="E8" s="42">
        <f>D8*$E$1</f>
        <v>25</v>
      </c>
      <c r="F8" s="52" t="s">
        <v>70</v>
      </c>
      <c r="G8" s="52" t="s">
        <v>66</v>
      </c>
      <c r="H8" s="54"/>
      <c r="I8" s="54"/>
      <c r="J8" s="86"/>
      <c r="K8" s="78"/>
    </row>
    <row r="9" spans="1:13" ht="14.25" x14ac:dyDescent="0.25">
      <c r="A9" s="73" t="s">
        <v>168</v>
      </c>
      <c r="B9" s="60"/>
      <c r="C9" s="82"/>
      <c r="D9" s="83"/>
      <c r="E9" s="84"/>
      <c r="F9" s="82"/>
      <c r="G9" s="82"/>
      <c r="H9" s="82"/>
      <c r="I9" s="91"/>
      <c r="J9" s="85"/>
      <c r="K9" s="81"/>
    </row>
    <row r="10" spans="1:13" ht="14.25" x14ac:dyDescent="0.25">
      <c r="A10" s="43"/>
      <c r="B10" s="54" t="s">
        <v>165</v>
      </c>
      <c r="C10" s="46" t="s">
        <v>24</v>
      </c>
      <c r="D10" s="56">
        <v>2</v>
      </c>
      <c r="E10" s="42">
        <f>D10*$E$1</f>
        <v>50</v>
      </c>
      <c r="F10" s="54" t="s">
        <v>39</v>
      </c>
      <c r="G10" s="52" t="s">
        <v>66</v>
      </c>
      <c r="H10" s="54" t="s">
        <v>80</v>
      </c>
      <c r="I10" s="52"/>
      <c r="J10" s="86"/>
      <c r="K10" s="78"/>
    </row>
    <row r="11" spans="1:13" ht="14.25" x14ac:dyDescent="0.25">
      <c r="A11" s="73" t="s">
        <v>169</v>
      </c>
      <c r="B11" s="60"/>
      <c r="C11" s="60"/>
      <c r="D11" s="61"/>
      <c r="E11" s="80"/>
      <c r="F11" s="60"/>
      <c r="G11" s="60"/>
      <c r="H11" s="60"/>
      <c r="I11" s="93"/>
      <c r="J11" s="87"/>
      <c r="K11" s="81"/>
    </row>
    <row r="12" spans="1:13" ht="30" x14ac:dyDescent="0.25">
      <c r="A12" s="43"/>
      <c r="B12" s="54" t="s">
        <v>19</v>
      </c>
      <c r="C12" s="46" t="s">
        <v>170</v>
      </c>
      <c r="D12" s="56">
        <v>4</v>
      </c>
      <c r="E12" s="42">
        <f>D12*$E$1</f>
        <v>100</v>
      </c>
      <c r="F12" s="52" t="s">
        <v>71</v>
      </c>
      <c r="G12" s="52"/>
      <c r="H12" s="54"/>
      <c r="I12" s="90" t="s">
        <v>171</v>
      </c>
      <c r="J12" s="86"/>
      <c r="K12" s="78"/>
    </row>
    <row r="13" spans="1:13" ht="14.25" x14ac:dyDescent="0.25">
      <c r="A13" s="73" t="s">
        <v>85</v>
      </c>
      <c r="B13" s="60"/>
      <c r="C13" s="60"/>
      <c r="D13" s="61"/>
      <c r="E13" s="80"/>
      <c r="F13" s="60"/>
      <c r="G13" s="60"/>
      <c r="H13" s="60"/>
      <c r="I13" s="93"/>
      <c r="J13" s="87"/>
      <c r="K13" s="81"/>
    </row>
    <row r="14" spans="1:13" ht="14.25" x14ac:dyDescent="0.25">
      <c r="A14" s="43"/>
      <c r="B14" s="52" t="s">
        <v>189</v>
      </c>
      <c r="C14" s="51" t="s">
        <v>60</v>
      </c>
      <c r="D14" s="42">
        <v>1</v>
      </c>
      <c r="E14" s="42">
        <f t="shared" ref="E14:E70" si="0">D14*$E$1</f>
        <v>25</v>
      </c>
      <c r="F14" s="24" t="s">
        <v>70</v>
      </c>
      <c r="G14" s="24" t="s">
        <v>65</v>
      </c>
      <c r="H14" s="54"/>
      <c r="I14" s="92"/>
      <c r="J14" s="86"/>
      <c r="K14" s="78">
        <f t="shared" ref="K14" si="1">J14*E14</f>
        <v>0</v>
      </c>
    </row>
    <row r="15" spans="1:13" ht="14.25" x14ac:dyDescent="0.25">
      <c r="A15" s="43"/>
      <c r="B15" s="52" t="s">
        <v>190</v>
      </c>
      <c r="C15" s="46" t="s">
        <v>42</v>
      </c>
      <c r="D15" s="56">
        <v>1</v>
      </c>
      <c r="E15" s="42">
        <f t="shared" si="0"/>
        <v>25</v>
      </c>
      <c r="F15" s="55" t="s">
        <v>70</v>
      </c>
      <c r="G15" s="52" t="s">
        <v>66</v>
      </c>
      <c r="H15" s="54"/>
      <c r="I15" s="54"/>
      <c r="J15" s="86"/>
      <c r="K15" s="78"/>
    </row>
    <row r="16" spans="1:13" ht="14.25" x14ac:dyDescent="0.25">
      <c r="A16" s="43"/>
      <c r="B16" s="52" t="s">
        <v>191</v>
      </c>
      <c r="C16" s="46" t="s">
        <v>23</v>
      </c>
      <c r="D16" s="56">
        <v>1</v>
      </c>
      <c r="E16" s="42">
        <f t="shared" si="0"/>
        <v>25</v>
      </c>
      <c r="F16" s="52" t="s">
        <v>70</v>
      </c>
      <c r="G16" s="52" t="s">
        <v>65</v>
      </c>
      <c r="H16" s="54"/>
      <c r="I16" s="52"/>
      <c r="J16" s="86"/>
      <c r="K16" s="78"/>
    </row>
    <row r="17" spans="1:11" ht="14.25" x14ac:dyDescent="0.25">
      <c r="A17" s="73" t="s">
        <v>86</v>
      </c>
      <c r="B17" s="60"/>
      <c r="C17" s="60"/>
      <c r="D17" s="61"/>
      <c r="E17" s="80"/>
      <c r="F17" s="60"/>
      <c r="G17" s="60"/>
      <c r="H17" s="60"/>
      <c r="I17" s="93"/>
      <c r="J17" s="87"/>
      <c r="K17" s="81"/>
    </row>
    <row r="18" spans="1:11" ht="45" x14ac:dyDescent="0.25">
      <c r="A18" s="43"/>
      <c r="B18" s="52" t="s">
        <v>133</v>
      </c>
      <c r="C18" s="58" t="s">
        <v>119</v>
      </c>
      <c r="D18" s="54">
        <v>2</v>
      </c>
      <c r="E18" s="42">
        <f t="shared" si="0"/>
        <v>50</v>
      </c>
      <c r="F18" s="52" t="s">
        <v>39</v>
      </c>
      <c r="G18" s="52" t="s">
        <v>65</v>
      </c>
      <c r="H18" s="54" t="s">
        <v>173</v>
      </c>
      <c r="I18" s="90" t="s">
        <v>172</v>
      </c>
      <c r="J18" s="86"/>
      <c r="K18" s="78"/>
    </row>
    <row r="19" spans="1:11" ht="45" x14ac:dyDescent="0.25">
      <c r="A19" s="43"/>
      <c r="B19" s="52" t="s">
        <v>134</v>
      </c>
      <c r="C19" s="58" t="s">
        <v>120</v>
      </c>
      <c r="D19" s="54">
        <v>2</v>
      </c>
      <c r="E19" s="42">
        <f t="shared" si="0"/>
        <v>50</v>
      </c>
      <c r="F19" s="52" t="s">
        <v>39</v>
      </c>
      <c r="G19" s="52" t="s">
        <v>65</v>
      </c>
      <c r="H19" s="54" t="s">
        <v>173</v>
      </c>
      <c r="I19" s="90" t="s">
        <v>172</v>
      </c>
      <c r="J19" s="86"/>
      <c r="K19" s="78"/>
    </row>
    <row r="20" spans="1:11" ht="14.25" x14ac:dyDescent="0.25">
      <c r="A20" s="43"/>
      <c r="B20" s="54" t="s">
        <v>192</v>
      </c>
      <c r="C20" s="53" t="s">
        <v>57</v>
      </c>
      <c r="D20" s="54">
        <v>1</v>
      </c>
      <c r="E20" s="42">
        <f t="shared" si="0"/>
        <v>25</v>
      </c>
      <c r="F20" s="52" t="s">
        <v>39</v>
      </c>
      <c r="G20" s="52" t="s">
        <v>65</v>
      </c>
      <c r="H20" s="54" t="s">
        <v>58</v>
      </c>
      <c r="I20" s="52"/>
      <c r="J20" s="86"/>
      <c r="K20" s="78"/>
    </row>
    <row r="21" spans="1:11" ht="14.25" x14ac:dyDescent="0.25">
      <c r="A21" s="73" t="s">
        <v>87</v>
      </c>
      <c r="B21" s="60"/>
      <c r="C21" s="60"/>
      <c r="D21" s="61"/>
      <c r="E21" s="80"/>
      <c r="F21" s="60"/>
      <c r="G21" s="60"/>
      <c r="H21" s="60"/>
      <c r="I21" s="93"/>
      <c r="J21" s="87"/>
      <c r="K21" s="81"/>
    </row>
    <row r="22" spans="1:11" ht="45" x14ac:dyDescent="0.25">
      <c r="A22" s="43"/>
      <c r="B22" s="54" t="s">
        <v>19</v>
      </c>
      <c r="C22" s="58" t="s">
        <v>123</v>
      </c>
      <c r="D22" s="54">
        <v>4</v>
      </c>
      <c r="E22" s="42">
        <f t="shared" si="0"/>
        <v>100</v>
      </c>
      <c r="F22" s="52" t="s">
        <v>71</v>
      </c>
      <c r="G22" s="52" t="s">
        <v>65</v>
      </c>
      <c r="H22" s="52" t="s">
        <v>111</v>
      </c>
      <c r="I22" s="95" t="s">
        <v>112</v>
      </c>
      <c r="J22" s="86">
        <v>4</v>
      </c>
      <c r="K22" s="78">
        <f t="shared" ref="K22" si="2">J22*E22</f>
        <v>400</v>
      </c>
    </row>
    <row r="23" spans="1:11" ht="45" x14ac:dyDescent="0.25">
      <c r="A23" s="43"/>
      <c r="B23" s="54" t="s">
        <v>19</v>
      </c>
      <c r="C23" s="58" t="s">
        <v>124</v>
      </c>
      <c r="D23" s="54">
        <v>9</v>
      </c>
      <c r="E23" s="42">
        <f t="shared" si="0"/>
        <v>225</v>
      </c>
      <c r="F23" s="52" t="s">
        <v>71</v>
      </c>
      <c r="G23" s="52" t="s">
        <v>65</v>
      </c>
      <c r="H23" s="54" t="s">
        <v>114</v>
      </c>
      <c r="I23" s="95" t="s">
        <v>125</v>
      </c>
      <c r="J23" s="86">
        <v>10</v>
      </c>
      <c r="K23" s="78">
        <f t="shared" ref="K23:K33" si="3">J23*E23</f>
        <v>2250</v>
      </c>
    </row>
    <row r="24" spans="1:11" ht="45" x14ac:dyDescent="0.25">
      <c r="A24" s="43"/>
      <c r="B24" s="54" t="s">
        <v>19</v>
      </c>
      <c r="C24" s="58" t="s">
        <v>202</v>
      </c>
      <c r="D24" s="54">
        <v>12</v>
      </c>
      <c r="E24" s="42">
        <f t="shared" si="0"/>
        <v>300</v>
      </c>
      <c r="F24" s="52" t="s">
        <v>71</v>
      </c>
      <c r="G24" s="52" t="s">
        <v>65</v>
      </c>
      <c r="H24" s="54" t="s">
        <v>114</v>
      </c>
      <c r="I24" s="95" t="s">
        <v>203</v>
      </c>
      <c r="J24" s="86">
        <v>8</v>
      </c>
      <c r="K24" s="78">
        <f t="shared" si="3"/>
        <v>2400</v>
      </c>
    </row>
    <row r="25" spans="1:11" ht="14.25" x14ac:dyDescent="0.25">
      <c r="A25" s="73" t="s">
        <v>88</v>
      </c>
      <c r="B25" s="60"/>
      <c r="C25" s="60"/>
      <c r="D25" s="61"/>
      <c r="E25" s="80"/>
      <c r="F25" s="60"/>
      <c r="G25" s="60"/>
      <c r="H25" s="60"/>
      <c r="I25" s="93"/>
      <c r="J25" s="87"/>
      <c r="K25" s="81"/>
    </row>
    <row r="26" spans="1:11" ht="14.25" x14ac:dyDescent="0.25">
      <c r="A26" s="43"/>
      <c r="B26" s="52" t="s">
        <v>135</v>
      </c>
      <c r="C26" s="53" t="s">
        <v>22</v>
      </c>
      <c r="D26" s="54">
        <v>1</v>
      </c>
      <c r="E26" s="42">
        <f t="shared" si="0"/>
        <v>25</v>
      </c>
      <c r="F26" s="24" t="s">
        <v>39</v>
      </c>
      <c r="G26" s="24" t="s">
        <v>65</v>
      </c>
      <c r="H26" s="54"/>
      <c r="I26" s="92"/>
      <c r="J26" s="86"/>
      <c r="K26" s="78">
        <f t="shared" si="3"/>
        <v>0</v>
      </c>
    </row>
    <row r="27" spans="1:11" ht="14.25" x14ac:dyDescent="0.25">
      <c r="A27" s="43"/>
      <c r="B27" s="52" t="s">
        <v>136</v>
      </c>
      <c r="C27" s="53" t="s">
        <v>28</v>
      </c>
      <c r="D27" s="54">
        <v>1</v>
      </c>
      <c r="E27" s="42">
        <f t="shared" si="0"/>
        <v>25</v>
      </c>
      <c r="F27" s="24" t="s">
        <v>39</v>
      </c>
      <c r="G27" s="24" t="s">
        <v>65</v>
      </c>
      <c r="H27" s="54"/>
      <c r="I27" s="92"/>
      <c r="J27" s="86"/>
      <c r="K27" s="78">
        <f t="shared" si="3"/>
        <v>0</v>
      </c>
    </row>
    <row r="28" spans="1:11" ht="14.25" x14ac:dyDescent="0.25">
      <c r="A28" s="43"/>
      <c r="B28" s="52" t="s">
        <v>193</v>
      </c>
      <c r="C28" s="53" t="s">
        <v>40</v>
      </c>
      <c r="D28" s="54">
        <v>1</v>
      </c>
      <c r="E28" s="42">
        <f t="shared" si="0"/>
        <v>25</v>
      </c>
      <c r="F28" s="24" t="s">
        <v>39</v>
      </c>
      <c r="G28" s="24" t="s">
        <v>65</v>
      </c>
      <c r="H28" s="54"/>
      <c r="I28" s="92"/>
      <c r="J28" s="86"/>
      <c r="K28" s="78">
        <f t="shared" si="3"/>
        <v>0</v>
      </c>
    </row>
    <row r="29" spans="1:11" ht="14.25" x14ac:dyDescent="0.25">
      <c r="A29" s="43"/>
      <c r="B29" s="52" t="s">
        <v>194</v>
      </c>
      <c r="C29" s="53" t="s">
        <v>41</v>
      </c>
      <c r="D29" s="54">
        <v>1</v>
      </c>
      <c r="E29" s="42">
        <f t="shared" si="0"/>
        <v>25</v>
      </c>
      <c r="F29" s="24" t="s">
        <v>39</v>
      </c>
      <c r="G29" s="24" t="s">
        <v>65</v>
      </c>
      <c r="H29" s="54"/>
      <c r="I29" s="92"/>
      <c r="J29" s="86"/>
      <c r="K29" s="78">
        <f t="shared" si="3"/>
        <v>0</v>
      </c>
    </row>
    <row r="30" spans="1:11" ht="14.25" x14ac:dyDescent="0.25">
      <c r="A30" s="43"/>
      <c r="B30" s="52" t="s">
        <v>137</v>
      </c>
      <c r="C30" s="53" t="s">
        <v>68</v>
      </c>
      <c r="D30" s="54">
        <v>4</v>
      </c>
      <c r="E30" s="42">
        <f t="shared" si="0"/>
        <v>100</v>
      </c>
      <c r="F30" s="24" t="s">
        <v>39</v>
      </c>
      <c r="G30" s="24" t="s">
        <v>65</v>
      </c>
      <c r="H30" s="54"/>
      <c r="I30" s="92"/>
      <c r="J30" s="86"/>
      <c r="K30" s="78">
        <f t="shared" si="3"/>
        <v>0</v>
      </c>
    </row>
    <row r="31" spans="1:11" ht="14.25" x14ac:dyDescent="0.25">
      <c r="A31" s="101"/>
      <c r="B31" s="102" t="s">
        <v>138</v>
      </c>
      <c r="C31" s="103" t="s">
        <v>69</v>
      </c>
      <c r="D31" s="102">
        <v>4</v>
      </c>
      <c r="E31" s="104">
        <f t="shared" si="0"/>
        <v>100</v>
      </c>
      <c r="F31" s="105" t="s">
        <v>39</v>
      </c>
      <c r="G31" s="105" t="s">
        <v>65</v>
      </c>
      <c r="H31" s="102"/>
      <c r="I31" s="106"/>
      <c r="J31" s="107"/>
      <c r="K31" s="108">
        <f t="shared" si="3"/>
        <v>0</v>
      </c>
    </row>
    <row r="32" spans="1:11" ht="14.25" x14ac:dyDescent="0.25">
      <c r="A32" s="73" t="s">
        <v>90</v>
      </c>
      <c r="B32" s="60"/>
      <c r="C32" s="60"/>
      <c r="D32" s="61"/>
      <c r="E32" s="80"/>
      <c r="F32" s="60"/>
      <c r="G32" s="60"/>
      <c r="H32" s="60"/>
      <c r="I32" s="93"/>
      <c r="J32" s="87"/>
      <c r="K32" s="81"/>
    </row>
    <row r="33" spans="1:11" ht="14.25" x14ac:dyDescent="0.25">
      <c r="A33" s="43"/>
      <c r="B33" s="52" t="s">
        <v>195</v>
      </c>
      <c r="C33" s="66" t="s">
        <v>43</v>
      </c>
      <c r="D33" s="56">
        <v>1</v>
      </c>
      <c r="E33" s="42">
        <f t="shared" si="0"/>
        <v>25</v>
      </c>
      <c r="F33" s="55" t="s">
        <v>70</v>
      </c>
      <c r="G33" s="24" t="s">
        <v>75</v>
      </c>
      <c r="H33" s="54"/>
      <c r="I33" s="92"/>
      <c r="J33" s="86"/>
      <c r="K33" s="78">
        <f t="shared" si="3"/>
        <v>0</v>
      </c>
    </row>
    <row r="34" spans="1:11" ht="14.25" x14ac:dyDescent="0.25">
      <c r="A34" s="43"/>
      <c r="B34" s="52" t="s">
        <v>139</v>
      </c>
      <c r="C34" s="46" t="s">
        <v>67</v>
      </c>
      <c r="D34" s="56">
        <v>1</v>
      </c>
      <c r="E34" s="42">
        <f t="shared" si="0"/>
        <v>25</v>
      </c>
      <c r="F34" s="55" t="s">
        <v>70</v>
      </c>
      <c r="G34" s="52" t="s">
        <v>75</v>
      </c>
      <c r="H34" s="54"/>
      <c r="I34" s="54"/>
      <c r="J34" s="86"/>
      <c r="K34" s="78"/>
    </row>
    <row r="35" spans="1:11" ht="14.25" x14ac:dyDescent="0.25">
      <c r="A35" s="73" t="s">
        <v>89</v>
      </c>
      <c r="B35" s="60"/>
      <c r="C35" s="60"/>
      <c r="D35" s="61"/>
      <c r="E35" s="80"/>
      <c r="F35" s="60"/>
      <c r="G35" s="60"/>
      <c r="H35" s="60"/>
      <c r="I35" s="93"/>
      <c r="J35" s="87"/>
      <c r="K35" s="81"/>
    </row>
    <row r="36" spans="1:11" ht="30" x14ac:dyDescent="0.25">
      <c r="A36" s="43"/>
      <c r="B36" s="52" t="s">
        <v>174</v>
      </c>
      <c r="C36" s="53" t="s">
        <v>56</v>
      </c>
      <c r="D36" s="54">
        <v>1</v>
      </c>
      <c r="E36" s="42">
        <f t="shared" si="0"/>
        <v>25</v>
      </c>
      <c r="F36" s="54" t="s">
        <v>39</v>
      </c>
      <c r="G36" s="52" t="s">
        <v>66</v>
      </c>
      <c r="H36" s="54" t="s">
        <v>108</v>
      </c>
      <c r="I36" s="88" t="s">
        <v>113</v>
      </c>
      <c r="J36" s="86"/>
      <c r="K36" s="78"/>
    </row>
    <row r="37" spans="1:11" ht="14.25" x14ac:dyDescent="0.25">
      <c r="A37" s="73" t="s">
        <v>91</v>
      </c>
      <c r="B37" s="60"/>
      <c r="C37" s="60"/>
      <c r="D37" s="61"/>
      <c r="E37" s="80"/>
      <c r="F37" s="60"/>
      <c r="G37" s="60"/>
      <c r="H37" s="60"/>
      <c r="I37" s="93"/>
      <c r="J37" s="87"/>
      <c r="K37" s="81"/>
    </row>
    <row r="38" spans="1:11" ht="60" x14ac:dyDescent="0.25">
      <c r="A38" s="43"/>
      <c r="B38" s="52" t="s">
        <v>19</v>
      </c>
      <c r="C38" s="58" t="s">
        <v>121</v>
      </c>
      <c r="D38" s="54">
        <v>2</v>
      </c>
      <c r="E38" s="42">
        <f t="shared" si="0"/>
        <v>50</v>
      </c>
      <c r="F38" s="54" t="s">
        <v>71</v>
      </c>
      <c r="G38" s="52" t="s">
        <v>75</v>
      </c>
      <c r="H38" s="54" t="s">
        <v>114</v>
      </c>
      <c r="I38" s="96" t="s">
        <v>122</v>
      </c>
      <c r="J38" s="89">
        <v>8</v>
      </c>
      <c r="K38" s="78">
        <f t="shared" ref="K38" si="4">J38*E38</f>
        <v>400</v>
      </c>
    </row>
    <row r="39" spans="1:11" ht="14.25" x14ac:dyDescent="0.25">
      <c r="A39" s="73" t="s">
        <v>162</v>
      </c>
      <c r="B39" s="60"/>
      <c r="C39" s="60"/>
      <c r="D39" s="61"/>
      <c r="E39" s="80"/>
      <c r="F39" s="60"/>
      <c r="G39" s="60"/>
      <c r="H39" s="60"/>
      <c r="I39" s="93"/>
      <c r="J39" s="87"/>
      <c r="K39" s="81"/>
    </row>
    <row r="40" spans="1:11" ht="14.25" x14ac:dyDescent="0.25">
      <c r="A40" s="43"/>
      <c r="B40" s="52" t="s">
        <v>196</v>
      </c>
      <c r="C40" s="53" t="s">
        <v>52</v>
      </c>
      <c r="D40" s="54">
        <v>1</v>
      </c>
      <c r="E40" s="42">
        <f>D40*$E$1</f>
        <v>25</v>
      </c>
      <c r="F40" s="57" t="s">
        <v>39</v>
      </c>
      <c r="G40" s="52" t="s">
        <v>66</v>
      </c>
      <c r="H40" s="54"/>
      <c r="I40" s="54"/>
      <c r="J40" s="86"/>
      <c r="K40" s="78">
        <f>J40*E40</f>
        <v>0</v>
      </c>
    </row>
    <row r="41" spans="1:11" ht="14.25" x14ac:dyDescent="0.25">
      <c r="A41" s="43"/>
      <c r="B41" s="52" t="s">
        <v>141</v>
      </c>
      <c r="C41" s="53" t="s">
        <v>61</v>
      </c>
      <c r="D41" s="54">
        <v>1</v>
      </c>
      <c r="E41" s="42">
        <f>D41*$E$1</f>
        <v>25</v>
      </c>
      <c r="F41" s="54" t="s">
        <v>39</v>
      </c>
      <c r="G41" s="52" t="s">
        <v>66</v>
      </c>
      <c r="H41" s="54"/>
      <c r="I41" s="54"/>
      <c r="J41" s="89"/>
      <c r="K41" s="79">
        <f t="shared" ref="K41" si="5">J41*D41</f>
        <v>0</v>
      </c>
    </row>
    <row r="42" spans="1:11" ht="14.25" x14ac:dyDescent="0.25">
      <c r="A42" s="73" t="s">
        <v>93</v>
      </c>
      <c r="B42" s="60"/>
      <c r="C42" s="60"/>
      <c r="D42" s="61"/>
      <c r="E42" s="80"/>
      <c r="F42" s="60"/>
      <c r="G42" s="60"/>
      <c r="H42" s="60"/>
      <c r="I42" s="93"/>
      <c r="J42" s="87"/>
      <c r="K42" s="81"/>
    </row>
    <row r="43" spans="1:11" ht="22.5" x14ac:dyDescent="0.25">
      <c r="A43" s="43"/>
      <c r="B43" s="52" t="s">
        <v>19</v>
      </c>
      <c r="C43" s="58" t="s">
        <v>95</v>
      </c>
      <c r="D43" s="54">
        <v>1</v>
      </c>
      <c r="E43" s="42">
        <f t="shared" si="0"/>
        <v>25</v>
      </c>
      <c r="F43" s="52" t="s">
        <v>71</v>
      </c>
      <c r="G43" s="52" t="s">
        <v>84</v>
      </c>
      <c r="H43" s="54" t="s">
        <v>126</v>
      </c>
      <c r="I43" s="88"/>
      <c r="J43" s="86"/>
      <c r="K43" s="78"/>
    </row>
    <row r="44" spans="1:11" ht="14.25" x14ac:dyDescent="0.25">
      <c r="A44" s="73" t="s">
        <v>94</v>
      </c>
      <c r="B44" s="60"/>
      <c r="C44" s="60"/>
      <c r="D44" s="61"/>
      <c r="E44" s="80"/>
      <c r="F44" s="60"/>
      <c r="G44" s="60"/>
      <c r="H44" s="60"/>
      <c r="I44" s="93"/>
      <c r="J44" s="87"/>
      <c r="K44" s="81"/>
    </row>
    <row r="45" spans="1:11" ht="14.25" x14ac:dyDescent="0.25">
      <c r="A45" s="43"/>
      <c r="B45" s="52" t="s">
        <v>140</v>
      </c>
      <c r="C45" s="66" t="s">
        <v>52</v>
      </c>
      <c r="D45" s="56">
        <v>1</v>
      </c>
      <c r="E45" s="42">
        <f t="shared" ref="E45:E50" si="6">D45*$E$1</f>
        <v>25</v>
      </c>
      <c r="F45" s="55" t="s">
        <v>39</v>
      </c>
      <c r="G45" s="24" t="s">
        <v>75</v>
      </c>
      <c r="H45" s="54"/>
      <c r="I45" s="54"/>
      <c r="J45" s="86"/>
      <c r="K45" s="78"/>
    </row>
    <row r="46" spans="1:11" ht="14.25" x14ac:dyDescent="0.25">
      <c r="A46" s="43"/>
      <c r="B46" s="52" t="s">
        <v>175</v>
      </c>
      <c r="C46" s="66" t="s">
        <v>55</v>
      </c>
      <c r="D46" s="56">
        <v>1</v>
      </c>
      <c r="E46" s="42">
        <f t="shared" si="6"/>
        <v>25</v>
      </c>
      <c r="F46" s="55" t="s">
        <v>39</v>
      </c>
      <c r="G46" s="24" t="s">
        <v>75</v>
      </c>
      <c r="H46" s="54"/>
      <c r="I46" s="54"/>
      <c r="J46" s="86"/>
      <c r="K46" s="78"/>
    </row>
    <row r="47" spans="1:11" ht="14.25" x14ac:dyDescent="0.25">
      <c r="A47" s="43"/>
      <c r="B47" s="52" t="s">
        <v>176</v>
      </c>
      <c r="C47" s="66" t="s">
        <v>183</v>
      </c>
      <c r="D47" s="56">
        <v>1</v>
      </c>
      <c r="E47" s="42">
        <f t="shared" si="6"/>
        <v>25</v>
      </c>
      <c r="F47" s="55" t="s">
        <v>39</v>
      </c>
      <c r="G47" s="24" t="s">
        <v>75</v>
      </c>
      <c r="H47" s="54"/>
      <c r="I47" s="54"/>
      <c r="J47" s="86"/>
      <c r="K47" s="78"/>
    </row>
    <row r="48" spans="1:11" ht="14.25" x14ac:dyDescent="0.25">
      <c r="A48" s="43"/>
      <c r="B48" s="52" t="s">
        <v>177</v>
      </c>
      <c r="C48" s="66" t="s">
        <v>184</v>
      </c>
      <c r="D48" s="56">
        <v>1</v>
      </c>
      <c r="E48" s="42">
        <f t="shared" si="6"/>
        <v>25</v>
      </c>
      <c r="F48" s="55" t="s">
        <v>39</v>
      </c>
      <c r="G48" s="24" t="s">
        <v>75</v>
      </c>
      <c r="H48" s="54"/>
      <c r="I48" s="54"/>
      <c r="J48" s="86"/>
      <c r="K48" s="78"/>
    </row>
    <row r="49" spans="1:11" ht="14.25" x14ac:dyDescent="0.25">
      <c r="A49" s="43"/>
      <c r="B49" s="52" t="s">
        <v>19</v>
      </c>
      <c r="C49" s="66" t="s">
        <v>182</v>
      </c>
      <c r="D49" s="56">
        <v>10</v>
      </c>
      <c r="E49" s="42">
        <f t="shared" si="6"/>
        <v>250</v>
      </c>
      <c r="F49" s="55" t="s">
        <v>39</v>
      </c>
      <c r="G49" s="24" t="s">
        <v>75</v>
      </c>
      <c r="H49" s="54"/>
      <c r="I49" s="54"/>
      <c r="J49" s="86"/>
      <c r="K49" s="78"/>
    </row>
    <row r="50" spans="1:11" ht="60" x14ac:dyDescent="0.25">
      <c r="A50" s="43"/>
      <c r="B50" s="52" t="s">
        <v>19</v>
      </c>
      <c r="C50" s="66" t="s">
        <v>185</v>
      </c>
      <c r="D50" s="56">
        <v>10</v>
      </c>
      <c r="E50" s="42">
        <f t="shared" si="6"/>
        <v>250</v>
      </c>
      <c r="F50" s="55" t="s">
        <v>39</v>
      </c>
      <c r="G50" s="24" t="s">
        <v>75</v>
      </c>
      <c r="H50" s="54" t="s">
        <v>114</v>
      </c>
      <c r="I50" s="96" t="s">
        <v>122</v>
      </c>
      <c r="J50" s="86"/>
      <c r="K50" s="78"/>
    </row>
    <row r="51" spans="1:11" ht="14.25" x14ac:dyDescent="0.25">
      <c r="A51" s="43"/>
      <c r="B51" s="52" t="s">
        <v>19</v>
      </c>
      <c r="C51" s="66" t="s">
        <v>180</v>
      </c>
      <c r="D51" s="56">
        <v>1</v>
      </c>
      <c r="E51" s="42">
        <f t="shared" si="0"/>
        <v>25</v>
      </c>
      <c r="F51" s="55" t="s">
        <v>39</v>
      </c>
      <c r="G51" s="24" t="s">
        <v>75</v>
      </c>
      <c r="H51" s="54"/>
      <c r="I51" s="54"/>
      <c r="J51" s="86"/>
      <c r="K51" s="78"/>
    </row>
    <row r="52" spans="1:11" ht="14.25" x14ac:dyDescent="0.25">
      <c r="A52" s="43"/>
      <c r="B52" s="52" t="s">
        <v>19</v>
      </c>
      <c r="C52" s="66" t="s">
        <v>179</v>
      </c>
      <c r="D52" s="56">
        <v>1</v>
      </c>
      <c r="E52" s="42">
        <f t="shared" si="0"/>
        <v>25</v>
      </c>
      <c r="F52" s="55" t="s">
        <v>39</v>
      </c>
      <c r="G52" s="24" t="s">
        <v>84</v>
      </c>
      <c r="H52" s="54"/>
      <c r="I52" s="54"/>
      <c r="J52" s="86"/>
      <c r="K52" s="78"/>
    </row>
    <row r="53" spans="1:11" ht="14.25" x14ac:dyDescent="0.25">
      <c r="A53" s="43"/>
      <c r="B53" s="52" t="s">
        <v>19</v>
      </c>
      <c r="C53" s="66" t="s">
        <v>178</v>
      </c>
      <c r="D53" s="56">
        <v>1</v>
      </c>
      <c r="E53" s="42">
        <f t="shared" si="0"/>
        <v>25</v>
      </c>
      <c r="F53" s="55" t="s">
        <v>70</v>
      </c>
      <c r="G53" s="24" t="s">
        <v>181</v>
      </c>
      <c r="H53" s="54"/>
      <c r="I53" s="54"/>
      <c r="J53" s="86"/>
      <c r="K53" s="78"/>
    </row>
    <row r="54" spans="1:11" ht="45" x14ac:dyDescent="0.25">
      <c r="A54" s="43"/>
      <c r="B54" s="52" t="s">
        <v>19</v>
      </c>
      <c r="C54" s="66" t="s">
        <v>83</v>
      </c>
      <c r="D54" s="56">
        <v>1</v>
      </c>
      <c r="E54" s="42">
        <f t="shared" si="0"/>
        <v>25</v>
      </c>
      <c r="F54" s="55" t="s">
        <v>71</v>
      </c>
      <c r="G54" s="24" t="s">
        <v>75</v>
      </c>
      <c r="H54" s="54"/>
      <c r="I54" s="96" t="s">
        <v>81</v>
      </c>
      <c r="J54" s="86">
        <v>97</v>
      </c>
      <c r="K54" s="79">
        <f>J54*E54</f>
        <v>2425</v>
      </c>
    </row>
    <row r="55" spans="1:11" ht="14.25" x14ac:dyDescent="0.25">
      <c r="A55" s="73" t="s">
        <v>96</v>
      </c>
      <c r="B55" s="60"/>
      <c r="C55" s="60"/>
      <c r="D55" s="61"/>
      <c r="E55" s="80"/>
      <c r="F55" s="60"/>
      <c r="G55" s="60"/>
      <c r="H55" s="60"/>
      <c r="I55" s="93"/>
      <c r="J55" s="87"/>
      <c r="K55" s="81"/>
    </row>
    <row r="56" spans="1:11" ht="14.25" x14ac:dyDescent="0.25">
      <c r="A56" s="43"/>
      <c r="B56" s="52" t="s">
        <v>197</v>
      </c>
      <c r="C56" s="46" t="s">
        <v>72</v>
      </c>
      <c r="D56" s="56">
        <v>1</v>
      </c>
      <c r="E56" s="42">
        <f t="shared" si="0"/>
        <v>25</v>
      </c>
      <c r="F56" s="52" t="s">
        <v>70</v>
      </c>
      <c r="G56" s="52" t="s">
        <v>66</v>
      </c>
      <c r="H56" s="54"/>
      <c r="I56" s="54"/>
      <c r="J56" s="86"/>
      <c r="K56" s="78"/>
    </row>
    <row r="57" spans="1:11" ht="14.25" x14ac:dyDescent="0.25">
      <c r="A57" s="73" t="s">
        <v>97</v>
      </c>
      <c r="B57" s="60"/>
      <c r="C57" s="60"/>
      <c r="D57" s="61"/>
      <c r="E57" s="80"/>
      <c r="F57" s="60"/>
      <c r="G57" s="60"/>
      <c r="H57" s="60"/>
      <c r="I57" s="93"/>
      <c r="J57" s="87"/>
      <c r="K57" s="81"/>
    </row>
    <row r="58" spans="1:11" ht="14.25" x14ac:dyDescent="0.25">
      <c r="A58" s="43"/>
      <c r="B58" s="54" t="s">
        <v>142</v>
      </c>
      <c r="C58" s="46" t="s">
        <v>55</v>
      </c>
      <c r="D58" s="56">
        <v>1</v>
      </c>
      <c r="E58" s="42">
        <f t="shared" si="0"/>
        <v>25</v>
      </c>
      <c r="F58" s="54" t="s">
        <v>39</v>
      </c>
      <c r="G58" s="52" t="s">
        <v>66</v>
      </c>
      <c r="H58" s="52"/>
      <c r="I58" s="52"/>
      <c r="J58" s="86"/>
      <c r="K58" s="78"/>
    </row>
    <row r="59" spans="1:11" ht="14.25" x14ac:dyDescent="0.25">
      <c r="A59" s="43"/>
      <c r="B59" s="54" t="s">
        <v>143</v>
      </c>
      <c r="C59" s="53" t="s">
        <v>62</v>
      </c>
      <c r="D59" s="54">
        <v>1</v>
      </c>
      <c r="E59" s="42">
        <f t="shared" si="0"/>
        <v>25</v>
      </c>
      <c r="F59" s="54" t="s">
        <v>39</v>
      </c>
      <c r="G59" s="52" t="s">
        <v>66</v>
      </c>
      <c r="H59" s="54"/>
      <c r="I59" s="54"/>
      <c r="J59" s="86"/>
      <c r="K59" s="78"/>
    </row>
    <row r="60" spans="1:11" ht="14.25" x14ac:dyDescent="0.25">
      <c r="A60" s="43"/>
      <c r="B60" s="54" t="s">
        <v>144</v>
      </c>
      <c r="C60" s="53" t="s">
        <v>54</v>
      </c>
      <c r="D60" s="54">
        <v>2</v>
      </c>
      <c r="E60" s="42">
        <f t="shared" si="0"/>
        <v>50</v>
      </c>
      <c r="F60" s="54" t="s">
        <v>39</v>
      </c>
      <c r="G60" s="52" t="s">
        <v>66</v>
      </c>
      <c r="H60" s="54"/>
      <c r="I60" s="54"/>
      <c r="J60" s="86"/>
      <c r="K60" s="78"/>
    </row>
    <row r="61" spans="1:11" ht="45" x14ac:dyDescent="0.25">
      <c r="A61" s="43"/>
      <c r="B61" s="54" t="s">
        <v>145</v>
      </c>
      <c r="C61" s="53" t="s">
        <v>77</v>
      </c>
      <c r="D61" s="54">
        <v>2</v>
      </c>
      <c r="E61" s="42">
        <f t="shared" si="0"/>
        <v>50</v>
      </c>
      <c r="F61" s="54" t="s">
        <v>39</v>
      </c>
      <c r="G61" s="52" t="s">
        <v>130</v>
      </c>
      <c r="H61" s="54" t="s">
        <v>159</v>
      </c>
      <c r="I61" s="88" t="s">
        <v>158</v>
      </c>
      <c r="J61" s="86"/>
      <c r="K61" s="78"/>
    </row>
    <row r="62" spans="1:11" ht="45" x14ac:dyDescent="0.25">
      <c r="A62" s="43"/>
      <c r="B62" s="54" t="s">
        <v>146</v>
      </c>
      <c r="C62" s="53" t="s">
        <v>63</v>
      </c>
      <c r="D62" s="56">
        <v>2</v>
      </c>
      <c r="E62" s="42">
        <f t="shared" si="0"/>
        <v>50</v>
      </c>
      <c r="F62" s="54" t="s">
        <v>39</v>
      </c>
      <c r="G62" s="52" t="s">
        <v>130</v>
      </c>
      <c r="H62" s="54" t="s">
        <v>159</v>
      </c>
      <c r="I62" s="90" t="s">
        <v>158</v>
      </c>
      <c r="J62" s="86"/>
      <c r="K62" s="78"/>
    </row>
    <row r="63" spans="1:11" ht="14.25" x14ac:dyDescent="0.25">
      <c r="A63" s="73" t="s">
        <v>98</v>
      </c>
      <c r="B63" s="60"/>
      <c r="C63" s="60"/>
      <c r="D63" s="61"/>
      <c r="E63" s="80"/>
      <c r="F63" s="60"/>
      <c r="G63" s="60"/>
      <c r="H63" s="60"/>
      <c r="I63" s="93"/>
      <c r="J63" s="87"/>
      <c r="K63" s="81"/>
    </row>
    <row r="64" spans="1:11" ht="15" x14ac:dyDescent="0.25">
      <c r="A64" s="43"/>
      <c r="B64" s="54" t="s">
        <v>19</v>
      </c>
      <c r="C64" s="66" t="s">
        <v>204</v>
      </c>
      <c r="D64" s="56">
        <v>2</v>
      </c>
      <c r="E64" s="42">
        <f t="shared" si="0"/>
        <v>50</v>
      </c>
      <c r="F64" s="54" t="s">
        <v>71</v>
      </c>
      <c r="G64" s="52" t="s">
        <v>66</v>
      </c>
      <c r="H64" s="54" t="s">
        <v>114</v>
      </c>
      <c r="I64" s="111" t="s">
        <v>205</v>
      </c>
      <c r="J64" s="86"/>
      <c r="K64" s="79"/>
    </row>
    <row r="65" spans="1:11" ht="45" x14ac:dyDescent="0.25">
      <c r="A65" s="43"/>
      <c r="B65" s="54" t="s">
        <v>19</v>
      </c>
      <c r="C65" s="66" t="s">
        <v>128</v>
      </c>
      <c r="D65" s="56">
        <v>7</v>
      </c>
      <c r="E65" s="42">
        <f t="shared" si="0"/>
        <v>175</v>
      </c>
      <c r="F65" s="54" t="s">
        <v>71</v>
      </c>
      <c r="G65" s="52" t="s">
        <v>66</v>
      </c>
      <c r="H65" s="54" t="s">
        <v>114</v>
      </c>
      <c r="I65" s="95" t="s">
        <v>129</v>
      </c>
      <c r="J65" s="86">
        <v>8</v>
      </c>
      <c r="K65" s="79">
        <f>J65*E65</f>
        <v>1400</v>
      </c>
    </row>
    <row r="66" spans="1:11" ht="60" x14ac:dyDescent="0.25">
      <c r="A66" s="43"/>
      <c r="B66" s="54" t="s">
        <v>19</v>
      </c>
      <c r="C66" s="66" t="s">
        <v>185</v>
      </c>
      <c r="D66" s="56">
        <v>2</v>
      </c>
      <c r="E66" s="42">
        <f t="shared" si="0"/>
        <v>50</v>
      </c>
      <c r="F66" s="54" t="s">
        <v>71</v>
      </c>
      <c r="G66" s="52" t="s">
        <v>66</v>
      </c>
      <c r="H66" s="54" t="s">
        <v>114</v>
      </c>
      <c r="I66" s="96" t="s">
        <v>122</v>
      </c>
      <c r="J66" s="86"/>
      <c r="K66" s="79"/>
    </row>
    <row r="67" spans="1:11" ht="14.25" x14ac:dyDescent="0.25">
      <c r="A67" s="73" t="s">
        <v>99</v>
      </c>
      <c r="B67" s="60"/>
      <c r="C67" s="60"/>
      <c r="D67" s="61"/>
      <c r="E67" s="80"/>
      <c r="F67" s="60"/>
      <c r="G67" s="60"/>
      <c r="H67" s="60"/>
      <c r="I67" s="93"/>
      <c r="J67" s="87"/>
      <c r="K67" s="81"/>
    </row>
    <row r="68" spans="1:11" ht="14.25" x14ac:dyDescent="0.25">
      <c r="A68" s="43"/>
      <c r="B68" s="52" t="s">
        <v>209</v>
      </c>
      <c r="C68" s="46" t="s">
        <v>42</v>
      </c>
      <c r="D68" s="56">
        <v>1</v>
      </c>
      <c r="E68" s="42">
        <f t="shared" si="0"/>
        <v>25</v>
      </c>
      <c r="F68" s="52" t="s">
        <v>70</v>
      </c>
      <c r="G68" s="52" t="s">
        <v>66</v>
      </c>
      <c r="H68" s="54"/>
      <c r="I68" s="54"/>
      <c r="J68" s="86"/>
      <c r="K68" s="78"/>
    </row>
    <row r="69" spans="1:11" ht="14.25" x14ac:dyDescent="0.25">
      <c r="A69" s="73" t="s">
        <v>100</v>
      </c>
      <c r="B69" s="60"/>
      <c r="C69" s="60"/>
      <c r="D69" s="61"/>
      <c r="E69" s="80"/>
      <c r="F69" s="60"/>
      <c r="G69" s="60"/>
      <c r="H69" s="60"/>
      <c r="I69" s="93"/>
      <c r="J69" s="87"/>
      <c r="K69" s="81"/>
    </row>
    <row r="70" spans="1:11" ht="14.25" x14ac:dyDescent="0.25">
      <c r="A70" s="43"/>
      <c r="B70" s="54" t="s">
        <v>147</v>
      </c>
      <c r="C70" s="53" t="s">
        <v>61</v>
      </c>
      <c r="D70" s="54">
        <v>1</v>
      </c>
      <c r="E70" s="42">
        <f t="shared" si="0"/>
        <v>25</v>
      </c>
      <c r="F70" s="54" t="s">
        <v>39</v>
      </c>
      <c r="G70" s="52" t="s">
        <v>66</v>
      </c>
      <c r="H70" s="54"/>
      <c r="I70" s="54"/>
      <c r="J70" s="86"/>
      <c r="K70" s="78"/>
    </row>
    <row r="71" spans="1:11" ht="14.25" x14ac:dyDescent="0.25">
      <c r="A71" s="43"/>
      <c r="B71" s="54" t="s">
        <v>148</v>
      </c>
      <c r="C71" s="53" t="s">
        <v>28</v>
      </c>
      <c r="D71" s="54">
        <v>1</v>
      </c>
      <c r="E71" s="42">
        <f t="shared" ref="E71:E92" si="7">D71*$E$1</f>
        <v>25</v>
      </c>
      <c r="F71" s="54" t="s">
        <v>39</v>
      </c>
      <c r="G71" s="52" t="s">
        <v>66</v>
      </c>
      <c r="H71" s="54"/>
      <c r="I71" s="54"/>
      <c r="J71" s="86"/>
      <c r="K71" s="78"/>
    </row>
    <row r="72" spans="1:11" ht="14.25" x14ac:dyDescent="0.25">
      <c r="A72" s="43"/>
      <c r="B72" s="54" t="s">
        <v>149</v>
      </c>
      <c r="C72" s="53" t="s">
        <v>22</v>
      </c>
      <c r="D72" s="54">
        <v>1</v>
      </c>
      <c r="E72" s="42">
        <f t="shared" si="7"/>
        <v>25</v>
      </c>
      <c r="F72" s="54" t="s">
        <v>39</v>
      </c>
      <c r="G72" s="52" t="s">
        <v>66</v>
      </c>
      <c r="H72" s="54"/>
      <c r="I72" s="54"/>
      <c r="J72" s="86"/>
      <c r="K72" s="78"/>
    </row>
    <row r="73" spans="1:11" ht="14.25" x14ac:dyDescent="0.25">
      <c r="A73" s="43"/>
      <c r="B73" s="54" t="s">
        <v>198</v>
      </c>
      <c r="C73" s="53" t="s">
        <v>40</v>
      </c>
      <c r="D73" s="54">
        <v>1</v>
      </c>
      <c r="E73" s="42">
        <f t="shared" si="7"/>
        <v>25</v>
      </c>
      <c r="F73" s="54" t="s">
        <v>39</v>
      </c>
      <c r="G73" s="52" t="s">
        <v>66</v>
      </c>
      <c r="H73" s="54"/>
      <c r="I73" s="54"/>
      <c r="J73" s="86"/>
      <c r="K73" s="78"/>
    </row>
    <row r="74" spans="1:11" ht="14.25" x14ac:dyDescent="0.25">
      <c r="A74" s="43"/>
      <c r="B74" s="54" t="s">
        <v>150</v>
      </c>
      <c r="C74" s="53" t="s">
        <v>41</v>
      </c>
      <c r="D74" s="54">
        <v>1</v>
      </c>
      <c r="E74" s="42">
        <f t="shared" si="7"/>
        <v>25</v>
      </c>
      <c r="F74" s="54" t="s">
        <v>39</v>
      </c>
      <c r="G74" s="52" t="s">
        <v>66</v>
      </c>
      <c r="H74" s="54"/>
      <c r="I74" s="54"/>
      <c r="J74" s="86"/>
      <c r="K74" s="78"/>
    </row>
    <row r="75" spans="1:11" ht="14.25" x14ac:dyDescent="0.25">
      <c r="A75" s="43"/>
      <c r="B75" s="54" t="s">
        <v>151</v>
      </c>
      <c r="C75" s="53" t="s">
        <v>53</v>
      </c>
      <c r="D75" s="54">
        <v>2</v>
      </c>
      <c r="E75" s="42">
        <f t="shared" si="7"/>
        <v>50</v>
      </c>
      <c r="F75" s="54" t="s">
        <v>39</v>
      </c>
      <c r="G75" s="52" t="s">
        <v>66</v>
      </c>
      <c r="H75" s="54"/>
      <c r="I75" s="54"/>
      <c r="J75" s="86"/>
      <c r="K75" s="78"/>
    </row>
    <row r="76" spans="1:11" ht="14.25" x14ac:dyDescent="0.25">
      <c r="A76" s="43"/>
      <c r="B76" s="54" t="s">
        <v>152</v>
      </c>
      <c r="C76" s="58" t="s">
        <v>109</v>
      </c>
      <c r="D76" s="54">
        <v>2</v>
      </c>
      <c r="E76" s="42">
        <f t="shared" si="7"/>
        <v>50</v>
      </c>
      <c r="F76" s="54" t="s">
        <v>39</v>
      </c>
      <c r="G76" s="52" t="s">
        <v>66</v>
      </c>
      <c r="H76" s="54"/>
      <c r="I76" s="54"/>
      <c r="J76" s="86"/>
      <c r="K76" s="78"/>
    </row>
    <row r="77" spans="1:11" ht="14.25" x14ac:dyDescent="0.25">
      <c r="A77" s="43"/>
      <c r="B77" s="54" t="s">
        <v>153</v>
      </c>
      <c r="C77" s="58" t="s">
        <v>110</v>
      </c>
      <c r="D77" s="56">
        <v>2</v>
      </c>
      <c r="E77" s="42">
        <f t="shared" si="7"/>
        <v>50</v>
      </c>
      <c r="F77" s="54" t="s">
        <v>39</v>
      </c>
      <c r="G77" s="52" t="s">
        <v>66</v>
      </c>
      <c r="H77" s="54"/>
      <c r="I77" s="52"/>
      <c r="J77" s="86"/>
      <c r="K77" s="78"/>
    </row>
    <row r="78" spans="1:11" ht="14.25" x14ac:dyDescent="0.25">
      <c r="A78" s="43"/>
      <c r="B78" s="54" t="s">
        <v>210</v>
      </c>
      <c r="C78" s="58" t="s">
        <v>211</v>
      </c>
      <c r="D78" s="56">
        <v>2</v>
      </c>
      <c r="E78" s="42">
        <f t="shared" ref="E78" si="8">D78*$E$1</f>
        <v>50</v>
      </c>
      <c r="F78" s="54" t="s">
        <v>39</v>
      </c>
      <c r="G78" s="52" t="s">
        <v>66</v>
      </c>
      <c r="H78" s="54"/>
      <c r="I78" s="52"/>
      <c r="J78" s="86"/>
      <c r="K78" s="78"/>
    </row>
    <row r="79" spans="1:11" ht="30" x14ac:dyDescent="0.25">
      <c r="A79" s="43"/>
      <c r="B79" s="52" t="s">
        <v>19</v>
      </c>
      <c r="C79" s="46" t="s">
        <v>206</v>
      </c>
      <c r="D79" s="56">
        <v>2</v>
      </c>
      <c r="E79" s="42">
        <f t="shared" si="7"/>
        <v>50</v>
      </c>
      <c r="F79" s="52" t="s">
        <v>71</v>
      </c>
      <c r="G79" s="52" t="s">
        <v>66</v>
      </c>
      <c r="H79" s="54"/>
      <c r="I79" s="88" t="s">
        <v>82</v>
      </c>
      <c r="J79" s="86"/>
      <c r="K79" s="79">
        <f>J79*E79</f>
        <v>0</v>
      </c>
    </row>
    <row r="80" spans="1:11" ht="14.25" x14ac:dyDescent="0.25">
      <c r="A80" s="73" t="s">
        <v>89</v>
      </c>
      <c r="B80" s="60"/>
      <c r="C80" s="60"/>
      <c r="D80" s="61"/>
      <c r="E80" s="80"/>
      <c r="F80" s="60"/>
      <c r="G80" s="60"/>
      <c r="H80" s="60"/>
      <c r="I80" s="93"/>
      <c r="J80" s="87"/>
      <c r="K80" s="81"/>
    </row>
    <row r="81" spans="1:11" ht="14.25" x14ac:dyDescent="0.25">
      <c r="A81" s="43"/>
      <c r="B81" s="54" t="s">
        <v>208</v>
      </c>
      <c r="C81" s="53" t="s">
        <v>163</v>
      </c>
      <c r="D81" s="54">
        <v>1</v>
      </c>
      <c r="E81" s="42">
        <f t="shared" ref="E81" si="9">D81*$E$1</f>
        <v>25</v>
      </c>
      <c r="F81" s="54" t="s">
        <v>39</v>
      </c>
      <c r="G81" s="52" t="s">
        <v>66</v>
      </c>
      <c r="H81" s="54"/>
      <c r="I81" s="54"/>
      <c r="J81" s="86"/>
      <c r="K81" s="78"/>
    </row>
    <row r="82" spans="1:11" ht="14.25" x14ac:dyDescent="0.25">
      <c r="A82" s="43"/>
      <c r="B82" s="54" t="s">
        <v>154</v>
      </c>
      <c r="C82" s="53" t="s">
        <v>164</v>
      </c>
      <c r="D82" s="54">
        <v>1</v>
      </c>
      <c r="E82" s="42">
        <f t="shared" si="7"/>
        <v>25</v>
      </c>
      <c r="F82" s="54" t="s">
        <v>39</v>
      </c>
      <c r="G82" s="52" t="s">
        <v>66</v>
      </c>
      <c r="H82" s="54"/>
      <c r="I82" s="54"/>
      <c r="J82" s="86"/>
      <c r="K82" s="78"/>
    </row>
    <row r="83" spans="1:11" ht="14.25" x14ac:dyDescent="0.25">
      <c r="A83" s="43"/>
      <c r="B83" s="54" t="s">
        <v>155</v>
      </c>
      <c r="C83" s="53" t="s">
        <v>78</v>
      </c>
      <c r="D83" s="54">
        <v>1</v>
      </c>
      <c r="E83" s="42">
        <f t="shared" si="7"/>
        <v>25</v>
      </c>
      <c r="F83" s="54" t="s">
        <v>39</v>
      </c>
      <c r="G83" s="52" t="s">
        <v>66</v>
      </c>
      <c r="H83" s="54"/>
      <c r="I83" s="54"/>
      <c r="J83" s="86"/>
      <c r="K83" s="78"/>
    </row>
    <row r="84" spans="1:11" ht="14.25" x14ac:dyDescent="0.25">
      <c r="A84" s="73" t="s">
        <v>91</v>
      </c>
      <c r="B84" s="60"/>
      <c r="C84" s="60"/>
      <c r="D84" s="61"/>
      <c r="E84" s="80"/>
      <c r="F84" s="60"/>
      <c r="G84" s="60"/>
      <c r="H84" s="60"/>
      <c r="I84" s="93"/>
      <c r="J84" s="87"/>
      <c r="K84" s="81"/>
    </row>
    <row r="85" spans="1:11" ht="45" x14ac:dyDescent="0.25">
      <c r="A85" s="43"/>
      <c r="B85" s="54" t="s">
        <v>19</v>
      </c>
      <c r="C85" s="58" t="s">
        <v>117</v>
      </c>
      <c r="D85" s="54">
        <v>7</v>
      </c>
      <c r="E85" s="42">
        <f t="shared" si="7"/>
        <v>175</v>
      </c>
      <c r="F85" s="54" t="s">
        <v>71</v>
      </c>
      <c r="G85" s="52" t="s">
        <v>66</v>
      </c>
      <c r="H85" s="54" t="s">
        <v>114</v>
      </c>
      <c r="I85" s="94" t="s">
        <v>118</v>
      </c>
      <c r="J85" s="86">
        <v>15</v>
      </c>
      <c r="K85" s="79">
        <f>J85*E85</f>
        <v>2625</v>
      </c>
    </row>
    <row r="86" spans="1:11" ht="14.25" x14ac:dyDescent="0.25">
      <c r="A86" s="73" t="s">
        <v>101</v>
      </c>
      <c r="B86" s="60"/>
      <c r="C86" s="60"/>
      <c r="D86" s="61"/>
      <c r="E86" s="80"/>
      <c r="F86" s="60"/>
      <c r="G86" s="60"/>
      <c r="H86" s="60"/>
      <c r="I86" s="93"/>
      <c r="J86" s="87"/>
      <c r="K86" s="81"/>
    </row>
    <row r="87" spans="1:11" ht="14.25" x14ac:dyDescent="0.25">
      <c r="A87" s="43"/>
      <c r="B87" s="54" t="s">
        <v>156</v>
      </c>
      <c r="C87" s="53" t="s">
        <v>74</v>
      </c>
      <c r="D87" s="54">
        <v>1</v>
      </c>
      <c r="E87" s="42">
        <f t="shared" si="7"/>
        <v>25</v>
      </c>
      <c r="F87" s="52" t="s">
        <v>70</v>
      </c>
      <c r="G87" s="52" t="s">
        <v>65</v>
      </c>
      <c r="H87" s="54"/>
      <c r="I87" s="52"/>
      <c r="J87" s="86"/>
      <c r="K87" s="78"/>
    </row>
    <row r="88" spans="1:11" ht="45" x14ac:dyDescent="0.25">
      <c r="A88" s="43"/>
      <c r="B88" s="52" t="s">
        <v>19</v>
      </c>
      <c r="C88" s="66" t="s">
        <v>127</v>
      </c>
      <c r="D88" s="56">
        <v>1</v>
      </c>
      <c r="E88" s="42">
        <f t="shared" si="7"/>
        <v>25</v>
      </c>
      <c r="F88" s="52" t="s">
        <v>71</v>
      </c>
      <c r="G88" s="52" t="s">
        <v>66</v>
      </c>
      <c r="H88" s="54"/>
      <c r="I88" s="90" t="s">
        <v>79</v>
      </c>
      <c r="J88" s="86">
        <v>1665</v>
      </c>
      <c r="K88" s="79">
        <f>J88*E88</f>
        <v>41625</v>
      </c>
    </row>
    <row r="89" spans="1:11" ht="14.25" x14ac:dyDescent="0.25">
      <c r="A89" s="73" t="s">
        <v>102</v>
      </c>
      <c r="B89" s="60"/>
      <c r="C89" s="60"/>
      <c r="D89" s="61"/>
      <c r="E89" s="80"/>
      <c r="F89" s="60"/>
      <c r="G89" s="60"/>
      <c r="H89" s="60"/>
      <c r="I89" s="93"/>
      <c r="J89" s="87"/>
      <c r="K89" s="81"/>
    </row>
    <row r="90" spans="1:11" ht="45" x14ac:dyDescent="0.25">
      <c r="A90" s="43"/>
      <c r="B90" s="52" t="s">
        <v>19</v>
      </c>
      <c r="C90" s="58" t="s">
        <v>131</v>
      </c>
      <c r="D90" s="54">
        <v>4</v>
      </c>
      <c r="E90" s="42">
        <f t="shared" si="7"/>
        <v>100</v>
      </c>
      <c r="F90" s="52" t="s">
        <v>71</v>
      </c>
      <c r="G90" s="52" t="s">
        <v>66</v>
      </c>
      <c r="H90" s="54" t="s">
        <v>114</v>
      </c>
      <c r="I90" s="95" t="s">
        <v>132</v>
      </c>
      <c r="J90" s="86">
        <v>17</v>
      </c>
      <c r="K90" s="79">
        <f>J90*E90</f>
        <v>1700</v>
      </c>
    </row>
    <row r="91" spans="1:11" ht="14.25" x14ac:dyDescent="0.25">
      <c r="A91" s="73" t="s">
        <v>199</v>
      </c>
      <c r="B91" s="60"/>
      <c r="C91" s="60"/>
      <c r="D91" s="61"/>
      <c r="E91" s="80">
        <f t="shared" si="7"/>
        <v>0</v>
      </c>
      <c r="F91" s="60"/>
      <c r="G91" s="60"/>
      <c r="H91" s="60"/>
      <c r="I91" s="93"/>
      <c r="J91" s="87"/>
      <c r="K91" s="81"/>
    </row>
    <row r="92" spans="1:11" ht="14.25" x14ac:dyDescent="0.25">
      <c r="A92" s="43"/>
      <c r="B92" s="54" t="s">
        <v>157</v>
      </c>
      <c r="C92" s="53" t="s">
        <v>73</v>
      </c>
      <c r="D92" s="54">
        <v>1</v>
      </c>
      <c r="E92" s="42">
        <f t="shared" si="7"/>
        <v>25</v>
      </c>
      <c r="F92" s="54" t="s">
        <v>39</v>
      </c>
      <c r="G92" s="52" t="s">
        <v>65</v>
      </c>
      <c r="H92" s="54"/>
      <c r="I92" s="52"/>
      <c r="J92" s="86"/>
      <c r="K92" s="78"/>
    </row>
    <row r="93" spans="1:11" ht="14.25" x14ac:dyDescent="0.25">
      <c r="A93" s="73" t="s">
        <v>102</v>
      </c>
      <c r="B93" s="60"/>
      <c r="C93" s="60"/>
      <c r="D93" s="61"/>
      <c r="E93" s="80">
        <f t="shared" ref="E93:E94" si="10">D93*$E$1</f>
        <v>0</v>
      </c>
      <c r="F93" s="60"/>
      <c r="G93" s="60"/>
      <c r="H93" s="60"/>
      <c r="I93" s="93"/>
      <c r="J93" s="87"/>
      <c r="K93" s="81"/>
    </row>
    <row r="94" spans="1:11" ht="15" x14ac:dyDescent="0.25">
      <c r="A94" s="43"/>
      <c r="B94" s="54" t="s">
        <v>19</v>
      </c>
      <c r="C94" s="53" t="s">
        <v>200</v>
      </c>
      <c r="D94" s="54">
        <v>4</v>
      </c>
      <c r="E94" s="42">
        <f t="shared" si="10"/>
        <v>100</v>
      </c>
      <c r="F94" s="52" t="s">
        <v>71</v>
      </c>
      <c r="G94" s="52" t="s">
        <v>66</v>
      </c>
      <c r="H94" s="54" t="s">
        <v>114</v>
      </c>
      <c r="I94" s="109" t="s">
        <v>201</v>
      </c>
      <c r="J94" s="110">
        <v>10</v>
      </c>
      <c r="K94" s="79">
        <f>J94*E94</f>
        <v>1000</v>
      </c>
    </row>
    <row r="95" spans="1:11" ht="14.25" x14ac:dyDescent="0.25">
      <c r="A95" s="67"/>
      <c r="B95" s="68"/>
      <c r="C95" s="69"/>
      <c r="D95" s="70" t="s">
        <v>44</v>
      </c>
      <c r="E95" s="71"/>
      <c r="F95" s="72" t="s">
        <v>45</v>
      </c>
      <c r="G95" s="72"/>
      <c r="H95" s="72"/>
      <c r="I95" s="97"/>
      <c r="J95" s="77"/>
      <c r="K95" s="78"/>
    </row>
    <row r="96" spans="1:11" ht="14.25" x14ac:dyDescent="0.25">
      <c r="A96" s="13"/>
      <c r="B96" s="14"/>
      <c r="C96" s="15" t="s">
        <v>46</v>
      </c>
      <c r="D96" s="113" t="s">
        <v>20</v>
      </c>
      <c r="E96" s="113"/>
      <c r="F96" s="16">
        <v>46126</v>
      </c>
      <c r="G96" s="16"/>
      <c r="H96" s="16"/>
      <c r="I96" s="98"/>
      <c r="J96" s="77"/>
      <c r="K96" s="78"/>
    </row>
    <row r="97" spans="1:11" ht="14.25" x14ac:dyDescent="0.25">
      <c r="A97" s="13"/>
      <c r="B97" s="14"/>
      <c r="C97" s="15" t="s">
        <v>47</v>
      </c>
      <c r="D97" s="113"/>
      <c r="E97" s="113"/>
      <c r="F97" s="17"/>
      <c r="G97" s="17"/>
      <c r="H97" s="17"/>
      <c r="I97" s="99"/>
      <c r="J97" s="77"/>
      <c r="K97" s="78"/>
    </row>
    <row r="98" spans="1:11" ht="15" thickBot="1" x14ac:dyDescent="0.3">
      <c r="A98" s="18" t="s">
        <v>48</v>
      </c>
      <c r="B98" s="19" t="s">
        <v>49</v>
      </c>
      <c r="C98" s="20"/>
      <c r="D98" s="21"/>
      <c r="E98" s="21"/>
      <c r="F98" s="22"/>
      <c r="G98" s="22"/>
      <c r="H98" s="22"/>
      <c r="I98" s="100"/>
      <c r="J98" s="77"/>
      <c r="K98" s="78"/>
    </row>
  </sheetData>
  <autoFilter ref="A3:H98" xr:uid="{8F9EF9FB-8BFE-4AFC-8638-3DDF88CB2E0C}"/>
  <mergeCells count="3">
    <mergeCell ref="D2:E2"/>
    <mergeCell ref="D96:E96"/>
    <mergeCell ref="D97:E97"/>
  </mergeCells>
  <hyperlinks>
    <hyperlink ref="I88" r:id="rId1" xr:uid="{9C0152FD-32C7-40C8-99A0-F6ABE9933EB5}"/>
    <hyperlink ref="I79" r:id="rId2" xr:uid="{C0540464-B4F8-4C00-9819-2384830DE9F4}"/>
    <hyperlink ref="I36" r:id="rId3" xr:uid="{12A44534-D1A6-4C1D-86CD-172AF2D2465A}"/>
    <hyperlink ref="I38" r:id="rId4" xr:uid="{5208CCBC-4F3D-4C5E-B7C0-9EF1102817B8}"/>
    <hyperlink ref="I22" r:id="rId5" xr:uid="{9A80C611-A557-4F88-BCFE-4EA2DAFA8A40}"/>
    <hyperlink ref="I23" r:id="rId6" xr:uid="{C6C5DB7B-1466-4CA0-8485-A48AB16F1F56}"/>
    <hyperlink ref="I54" r:id="rId7" xr:uid="{7F9B360D-10E5-4CBD-A80E-AB5A697F7553}"/>
    <hyperlink ref="I85" r:id="rId8" xr:uid="{7E717DA6-9792-42B6-BBCA-2BC1D033AE0C}"/>
    <hyperlink ref="I65" r:id="rId9" xr:uid="{AFCA7E28-F68F-4E13-9BDE-33FECE035D9B}"/>
    <hyperlink ref="I61" r:id="rId10" xr:uid="{0EE28156-A31E-4F11-AD9B-9521EBCCF681}"/>
    <hyperlink ref="I62" r:id="rId11" xr:uid="{5B9E488A-4FB2-4B76-B791-E2E59C63ADA4}"/>
    <hyperlink ref="I40" r:id="rId12" display="https://www.pkf-konros.ru/catalog/bobyshki/bobyshka-pryamaya-bp04/bp04-g3-4-st-08h18n10-nerzh-stal/" xr:uid="{FBD9C082-8077-489B-97DA-91C52CB916DF}"/>
    <hyperlink ref="I27" r:id="rId13" display="https://krepcom.ru/catalog/shayby/shayba_regulirovochnaya_5kh10kh0_5_mm_din_988.htm" xr:uid="{9D9E60FF-FA37-4265-BD6C-C52B5D970E2D}"/>
    <hyperlink ref="I26" r:id="rId14" display="https://krepcom.ru/catalog/gayki-razdel/gayka_sh_gr_s_flantsem_DIN_6923_A2_s_zazubrinami.htm" xr:uid="{5B78BCD9-6C52-42E0-96AC-7B91D4AFDAC4}"/>
    <hyperlink ref="I25" r:id="rId15" display="https://krepcom.ru/catalog/bolty-razdel/bolt_s_flantsem_m5kh12_din_6921_nerzhaveyushchaya_stal_a4.htm" xr:uid="{10B0472C-DB68-4FD0-954E-EBA5239B4704}"/>
    <hyperlink ref="I12" r:id="rId16" xr:uid="{523D28ED-2FE2-4CB5-B1AA-B283F7121E47}"/>
    <hyperlink ref="I50" r:id="rId17" xr:uid="{68260298-6353-4336-9F30-9D0C81DA51F3}"/>
    <hyperlink ref="I94" r:id="rId18" xr:uid="{30FA04D1-D405-4502-AA58-D465EBF57E56}"/>
    <hyperlink ref="I24" r:id="rId19" xr:uid="{B5FCBC43-7E7E-4E6F-973B-0775151B87D1}"/>
    <hyperlink ref="I66" r:id="rId20" xr:uid="{B5DD618C-C4E4-4F86-8423-8B6A6F7BC5BA}"/>
  </hyperlinks>
  <pageMargins left="0.74803149606299213" right="0.39370078740157477" top="0.39370078740157477" bottom="0.39370078740157477" header="0" footer="0"/>
  <pageSetup paperSize="9" scale="10" fitToHeight="0" pageOrder="overThenDown" orientation="portrait" r:id="rId21"/>
  <headerFooter alignWithMargins="0">
    <oddHeader>&amp;L&amp;"Arial,normal"&amp;8НТЦ_КТО  ПАО "КАМАЗ"</oddHeader>
    <oddFooter>&amp;L&amp;"Arial,normal"&amp;8Сформировано в 1С: Предприятие 8 (Пользователь: Григорьев Михаил Васильевич) т.338171           стр &amp;P из &amp;N&amp;R&amp;"Arial,normal"&amp;8&amp;D 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НА ПАРСИНГ</vt:lpstr>
      <vt:lpstr>КВ (установка)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Дмитрий Крисковец</dc:creator>
  <cp:lastModifiedBy>Дмитрий Крисковец</cp:lastModifiedBy>
  <dcterms:created xsi:type="dcterms:W3CDTF">2015-06-05T18:17:20Z</dcterms:created>
  <dcterms:modified xsi:type="dcterms:W3CDTF">2026-10-15T15:52:51Z</dcterms:modified>
</cp:coreProperties>
</file>