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X:\03_Оборудование (EQT)\017_Инлеты (INL)\0060_Инлет настенный типа AA (WAA)\00153_PZ-EQT-INL-WAA-A\0_Модели\"/>
    </mc:Choice>
  </mc:AlternateContent>
  <xr:revisionPtr revIDLastSave="0" documentId="13_ncr:1_{8FD6F124-FD92-45C4-968D-84BD95B8F00F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2" i="1" l="1"/>
  <c r="B139" i="1" l="1"/>
  <c r="B149" i="1"/>
  <c r="B67" i="1" l="1"/>
  <c r="B58" i="1"/>
  <c r="B90" i="1" l="1"/>
  <c r="B141" i="1" l="1"/>
  <c r="B142" i="1" s="1"/>
  <c r="B128" i="1" l="1"/>
  <c r="B129" i="1"/>
  <c r="B130" i="1" s="1"/>
  <c r="B148" i="1" l="1"/>
  <c r="B169" i="1" l="1"/>
  <c r="B165" i="1"/>
  <c r="B162" i="1"/>
  <c r="B164" i="1"/>
  <c r="B160" i="1"/>
  <c r="B163" i="1" l="1"/>
  <c r="B41" i="1" l="1"/>
  <c r="B23" i="1" l="1"/>
  <c r="B22" i="1"/>
  <c r="B7" i="1"/>
  <c r="B10" i="1"/>
  <c r="B38" i="1" s="1"/>
  <c r="B6" i="1"/>
  <c r="B12" i="1" s="1"/>
  <c r="B39" i="1" l="1"/>
  <c r="B18" i="1"/>
  <c r="B33" i="1"/>
  <c r="B28" i="1" l="1"/>
  <c r="B121" i="1" l="1"/>
  <c r="B119" i="1" l="1"/>
  <c r="B115" i="1" l="1"/>
  <c r="B113" i="1" l="1"/>
  <c r="B116" i="1" l="1"/>
  <c r="B60" i="1" l="1"/>
  <c r="B120" i="1" l="1"/>
  <c r="B108" i="1" l="1"/>
  <c r="B112" i="1" s="1"/>
  <c r="B114" i="1" s="1"/>
  <c r="B99" i="1"/>
  <c r="B80" i="1" l="1"/>
  <c r="B46" i="1" l="1"/>
  <c r="B86" i="1" l="1"/>
  <c r="B81" i="1"/>
  <c r="B78" i="1"/>
  <c r="B85" i="1"/>
  <c r="B82" i="1"/>
  <c r="B144" i="1" s="1"/>
  <c r="B83" i="1"/>
  <c r="B102" i="1" l="1"/>
  <c r="B103" i="1" s="1"/>
  <c r="B138" i="1"/>
  <c r="B140" i="1" s="1"/>
  <c r="B143" i="1" s="1"/>
  <c r="B109" i="1"/>
  <c r="B110" i="1" s="1"/>
  <c r="B104" i="1"/>
  <c r="B56" i="1"/>
  <c r="B106" i="1" l="1"/>
  <c r="B105" i="1" s="1"/>
  <c r="B101" i="1" s="1"/>
  <c r="B107" i="1"/>
  <c r="B37" i="1"/>
  <c r="B62" i="1" l="1"/>
  <c r="B64" i="1" s="1"/>
  <c r="B63" i="1"/>
  <c r="B66" i="1" s="1"/>
  <c r="B74" i="1"/>
  <c r="B73" i="1"/>
  <c r="B72" i="1"/>
  <c r="B71" i="1"/>
  <c r="B69" i="1"/>
  <c r="B44" i="1"/>
  <c r="B42" i="1" s="1"/>
  <c r="B43" i="1" s="1"/>
  <c r="B59" i="1"/>
  <c r="B57" i="1"/>
  <c r="B65" i="1" l="1"/>
  <c r="B26" i="1"/>
  <c r="B29" i="1"/>
  <c r="B31" i="1" l="1"/>
  <c r="B32" i="1" s="1"/>
  <c r="B40" i="1" s="1"/>
  <c r="B13" i="1"/>
  <c r="B11" i="1"/>
  <c r="B30" i="1" l="1"/>
  <c r="B68" i="1" s="1"/>
  <c r="B79" i="1"/>
  <c r="B70" i="1"/>
  <c r="B51" i="1"/>
  <c r="B61" i="1" s="1"/>
  <c r="B52" i="1" l="1"/>
  <c r="B45" i="1"/>
  <c r="B47" i="1"/>
</calcChain>
</file>

<file path=xl/sharedStrings.xml><?xml version="1.0" encoding="utf-8"?>
<sst xmlns="http://schemas.openxmlformats.org/spreadsheetml/2006/main" count="678" uniqueCount="363">
  <si>
    <t>Название</t>
  </si>
  <si>
    <t>Размер</t>
  </si>
  <si>
    <t>Тип</t>
  </si>
  <si>
    <t>Примечание</t>
  </si>
  <si>
    <t>Название детали / сборки</t>
  </si>
  <si>
    <t>мм</t>
  </si>
  <si>
    <t>a_1_fp</t>
  </si>
  <si>
    <t>b_1_fp</t>
  </si>
  <si>
    <t>delta_v_1_fp</t>
  </si>
  <si>
    <t>delta_h_1_fp</t>
  </si>
  <si>
    <t>delta_v_2_fp</t>
  </si>
  <si>
    <t>delta_h_2_fp</t>
  </si>
  <si>
    <t>a_h_1_fp</t>
  </si>
  <si>
    <t>b_h_1_fp</t>
  </si>
  <si>
    <t>a_h_2_fp</t>
  </si>
  <si>
    <t>b_h_2_fp</t>
  </si>
  <si>
    <t>t_fp</t>
  </si>
  <si>
    <t>Фронтальная пластина</t>
  </si>
  <si>
    <t>Толщина металла фронтальной пластины</t>
  </si>
  <si>
    <t>Горизонтальный размер фронтальной пластины</t>
  </si>
  <si>
    <t>Вертикальный размер фронтальной пластины</t>
  </si>
  <si>
    <t>Горизонтальный размер выреза под дверь</t>
  </si>
  <si>
    <t>Вертикальный размер выреза под дверь</t>
  </si>
  <si>
    <t>Горизонтальный размер выреза под NFC</t>
  </si>
  <si>
    <t>Вертикальный размер выреза под NFC</t>
  </si>
  <si>
    <t>Вертикальный отступ до начала выреза под дверь</t>
  </si>
  <si>
    <t>Горизонтальный отступ до начала выреза под дверь</t>
  </si>
  <si>
    <t>Горизонтальный отступ до начала выреза под NFC</t>
  </si>
  <si>
    <t>Вертикальный отступ до начала выреза под NFC</t>
  </si>
  <si>
    <t>t_bp</t>
  </si>
  <si>
    <t>Толщина металла внутренних полос</t>
  </si>
  <si>
    <t>b_bp_1</t>
  </si>
  <si>
    <t>Ширина внутренних полос 1-4</t>
  </si>
  <si>
    <t>Полосы 1 - 4</t>
  </si>
  <si>
    <t>Вертикальный отступ до начала выреза под переход</t>
  </si>
  <si>
    <t>Горизонтальный отступ до начала выреза под переход</t>
  </si>
  <si>
    <t>Горизонтальный размер выреза под переход</t>
  </si>
  <si>
    <t>Вертикальный размер выреза под переход</t>
  </si>
  <si>
    <t>delta_h_1_bp</t>
  </si>
  <si>
    <t>delta_v_1_bp</t>
  </si>
  <si>
    <t>a_h_1_bp</t>
  </si>
  <si>
    <t>b_h_1_bp</t>
  </si>
  <si>
    <t>Тыльная пластина</t>
  </si>
  <si>
    <t>Фронтальная пластина, тыльная пластина</t>
  </si>
  <si>
    <t>Полосы 1 - 4, тыльная пластина</t>
  </si>
  <si>
    <t>Основные параметры дверцы</t>
  </si>
  <si>
    <t>a_d_fp</t>
  </si>
  <si>
    <t>b_d_fp</t>
  </si>
  <si>
    <t>Горизонтальный размер фронтальной пластины двери</t>
  </si>
  <si>
    <t>Вертикальный размер фронтальной пластины двери</t>
  </si>
  <si>
    <t>t_d_fp</t>
  </si>
  <si>
    <t>Зазор от двери до боков внутренней рамки</t>
  </si>
  <si>
    <t>delta_df_1</t>
  </si>
  <si>
    <t>delta_df_2</t>
  </si>
  <si>
    <t>Зазор от двери до задника внутренней рамки</t>
  </si>
  <si>
    <t>Полный размер глубины выреза под дверь</t>
  </si>
  <si>
    <t>h_d_1</t>
  </si>
  <si>
    <t>h_d_2</t>
  </si>
  <si>
    <t>Глубина под заднюю часть двери</t>
  </si>
  <si>
    <t>Высота противопожарной ленты</t>
  </si>
  <si>
    <t>Ширина противопожарной ленты ленты</t>
  </si>
  <si>
    <t>t_d_sp</t>
  </si>
  <si>
    <t>Толщина боковых пластин дверцы</t>
  </si>
  <si>
    <t>Ширина ручки</t>
  </si>
  <si>
    <t>Глубина ручки</t>
  </si>
  <si>
    <t>Ширина откоса под крепление задней части двери</t>
  </si>
  <si>
    <t>h_d_afl</t>
  </si>
  <si>
    <t>b_d_afl</t>
  </si>
  <si>
    <t>Высота боковой пластины 1</t>
  </si>
  <si>
    <t>b_d_sp1_1</t>
  </si>
  <si>
    <t>h_d_sp1_1</t>
  </si>
  <si>
    <t>b_d_sp1_h</t>
  </si>
  <si>
    <t>h_d_sp1_h</t>
  </si>
  <si>
    <t>Максимальный вынос сопряжения задника рамки и ручки-откоса</t>
  </si>
  <si>
    <t>h_d_sp1_h_full_1</t>
  </si>
  <si>
    <t>h_d_sp1_h_full_2</t>
  </si>
  <si>
    <t>h_d_sp1_h_top</t>
  </si>
  <si>
    <t>Длина промежуточной части верхней стенки</t>
  </si>
  <si>
    <t>Длина задней дверной пластины</t>
  </si>
  <si>
    <t>Ширина задней дверной пластины</t>
  </si>
  <si>
    <t>a_d_cbp</t>
  </si>
  <si>
    <t>b_d_cbp</t>
  </si>
  <si>
    <t>d_d_cbp</t>
  </si>
  <si>
    <t>Длина откоса под крепление задней пластины</t>
  </si>
  <si>
    <t>Ширина откоса под крепление задней пластины</t>
  </si>
  <si>
    <t>Диаметр отверстия под крепление задней пластины</t>
  </si>
  <si>
    <t>a_d_bp_1</t>
  </si>
  <si>
    <t>b_d_bp_1</t>
  </si>
  <si>
    <t>Изоляционная лента 1</t>
  </si>
  <si>
    <t>a_il_1</t>
  </si>
  <si>
    <t>b_il_1</t>
  </si>
  <si>
    <t>h_il_1</t>
  </si>
  <si>
    <t>Изоляционная лента 2</t>
  </si>
  <si>
    <t>a_il_2</t>
  </si>
  <si>
    <t>b_il_2</t>
  </si>
  <si>
    <t>h_il_2</t>
  </si>
  <si>
    <t>Основные параметры дверцы, ППЛ</t>
  </si>
  <si>
    <t>a_d_afl_1</t>
  </si>
  <si>
    <t>a_d_afl_2</t>
  </si>
  <si>
    <t>Противопожарная лента 1</t>
  </si>
  <si>
    <t>Противопожарная лента 2</t>
  </si>
  <si>
    <t>Ширина горизонтальной изоляционной ленты</t>
  </si>
  <si>
    <t>Длина горизонтальной изоляционной ленты</t>
  </si>
  <si>
    <t>Высота горизонтальной изоляционной ленты</t>
  </si>
  <si>
    <t>Длина вертикальной поперечной изоляционной ленты</t>
  </si>
  <si>
    <t>Ширина вертикальной поперечной изоляционной ленты</t>
  </si>
  <si>
    <t>Высота вертикальной поперечной изоляционной ленты</t>
  </si>
  <si>
    <t>Длина вертикальной противопожарной ленты</t>
  </si>
  <si>
    <t>Длина горизонтальной противопожарной ленты</t>
  </si>
  <si>
    <t>d_sb_1</t>
  </si>
  <si>
    <t xml:space="preserve">Диаметр опорной поверхности шарнира </t>
  </si>
  <si>
    <t>d_sb_2</t>
  </si>
  <si>
    <t xml:space="preserve">Диаметр отверстия в опорной поверхности шарнира </t>
  </si>
  <si>
    <t>Шарнир 1</t>
  </si>
  <si>
    <t>delta_dsp_1_1</t>
  </si>
  <si>
    <t>delta_dsp_1_2</t>
  </si>
  <si>
    <t>Горизонтальная дельта под отступ со стороны ручки</t>
  </si>
  <si>
    <t>Вертикальная дельта под отступ со стороны ручки</t>
  </si>
  <si>
    <t>Вертикальная дельта под отступ-опору шарнира</t>
  </si>
  <si>
    <t>Горизонтальная дельта под отступ-опору шарнира</t>
  </si>
  <si>
    <t>delta_dsp_2_1</t>
  </si>
  <si>
    <t>delta_dsp_2_2</t>
  </si>
  <si>
    <t>d_sb_3</t>
  </si>
  <si>
    <t>Диаметр отвесной части шарнира</t>
  </si>
  <si>
    <t>Прокладка из резины 1</t>
  </si>
  <si>
    <t>Длина прокладки</t>
  </si>
  <si>
    <t>Ширина прокладки</t>
  </si>
  <si>
    <t>Длина отверстия</t>
  </si>
  <si>
    <t>Ширина отверстия</t>
  </si>
  <si>
    <t>Дельта по горизонтали до отверстия</t>
  </si>
  <si>
    <t>Дельта по вертикали до отверстия</t>
  </si>
  <si>
    <t>Толщина прокладки</t>
  </si>
  <si>
    <t>a_rub_1_1</t>
  </si>
  <si>
    <t>b_rub_1_1</t>
  </si>
  <si>
    <t>a_rub_1_2</t>
  </si>
  <si>
    <t>b_rub_1_2</t>
  </si>
  <si>
    <t>delta_rub_1_2</t>
  </si>
  <si>
    <t>delta_rub_1_1</t>
  </si>
  <si>
    <t>t_rub_1</t>
  </si>
  <si>
    <t>r_d_sp_1</t>
  </si>
  <si>
    <t>Радиус гиба для боковых пластин дверцы</t>
  </si>
  <si>
    <t>b_d_sp1_hafl</t>
  </si>
  <si>
    <t>Ширина отсечки ручки от ППЛ</t>
  </si>
  <si>
    <t>delta_afl_rad</t>
  </si>
  <si>
    <t>Отступ по глубине под усадку ленты в канавку</t>
  </si>
  <si>
    <t>Рамка загрузочной секции</t>
  </si>
  <si>
    <t>t_is_frame</t>
  </si>
  <si>
    <t>a_is_frame</t>
  </si>
  <si>
    <t>Толщина рамки загрузочной секции</t>
  </si>
  <si>
    <t>Длина рамки загрузочной секции</t>
  </si>
  <si>
    <t>Ширина рамки загрузочной секции</t>
  </si>
  <si>
    <t>b_is_frame</t>
  </si>
  <si>
    <t>delta_is_frame_1</t>
  </si>
  <si>
    <t>delta_is_frame_2</t>
  </si>
  <si>
    <t>a_is_frame_cut</t>
  </si>
  <si>
    <t>b_is_frame_cut</t>
  </si>
  <si>
    <t>Вертикальная дельта до начала выреза в рамке загрузочной секции</t>
  </si>
  <si>
    <t>Горизонтальная дельта до начала выреза в рамке загрузочной секции</t>
  </si>
  <si>
    <t>Длина выреза рамки загрузочной секции</t>
  </si>
  <si>
    <t>Ширина выреза рамки загрузочной секции</t>
  </si>
  <si>
    <t>d_frames_con</t>
  </si>
  <si>
    <t>Диаметр отверстий под крепеж секции</t>
  </si>
  <si>
    <t>Диаметр выводной части гаек-заклепок</t>
  </si>
  <si>
    <t>d_screw_1</t>
  </si>
  <si>
    <t>d_screw_2</t>
  </si>
  <si>
    <t>Диаметр зацепной части гаек-заклепок</t>
  </si>
  <si>
    <t>Расстояние от края рамки до края трубы по центру</t>
  </si>
  <si>
    <t>D_tube</t>
  </si>
  <si>
    <t>t_tube</t>
  </si>
  <si>
    <t>Диаметр трубы</t>
  </si>
  <si>
    <t>Загрузочная секция/ Рамка загрузочной секции</t>
  </si>
  <si>
    <t>Толщина трубы</t>
  </si>
  <si>
    <t>Загрузочная секция/ Рамка загрузочной секции/Труба</t>
  </si>
  <si>
    <t>alpha_section</t>
  </si>
  <si>
    <t>L_distance_bs</t>
  </si>
  <si>
    <t>град</t>
  </si>
  <si>
    <t>Угол наклона под трубу</t>
  </si>
  <si>
    <t>delta_section_1</t>
  </si>
  <si>
    <t>Дистанция регулировки положения</t>
  </si>
  <si>
    <t>delta_section_2</t>
  </si>
  <si>
    <t>H_connection_bs</t>
  </si>
  <si>
    <t>Дистанция между статичной и динамической частями секции</t>
  </si>
  <si>
    <t>betha_section</t>
  </si>
  <si>
    <t>Угол наклона под отвод</t>
  </si>
  <si>
    <t>Толщина статической и динамической частей загрузочной секции</t>
  </si>
  <si>
    <t>Статичная часть загрузочной секции</t>
  </si>
  <si>
    <t>a_1_is_dp</t>
  </si>
  <si>
    <t>Номинальное расстояние от края рамки до края трубы по центру</t>
  </si>
  <si>
    <t>t_is_dsp</t>
  </si>
  <si>
    <t>tetha_section</t>
  </si>
  <si>
    <t>Ширина статичной части</t>
  </si>
  <si>
    <t>c_1_is_sp</t>
  </si>
  <si>
    <t>a_1_is_sp</t>
  </si>
  <si>
    <t>a_2_is_sp</t>
  </si>
  <si>
    <t>Угол прилегания диаметра трубы к хорде образуемой присоединением</t>
  </si>
  <si>
    <t>b_1_is_sp</t>
  </si>
  <si>
    <t>b_2_is_sp</t>
  </si>
  <si>
    <t>Отступ до оси края окружности от края статичной части</t>
  </si>
  <si>
    <t>b_1_is_dp</t>
  </si>
  <si>
    <t>b_2_is_dp</t>
  </si>
  <si>
    <t>Вертикальная длина грани динамической части</t>
  </si>
  <si>
    <t>Вертикальная длина грани статичной части 1</t>
  </si>
  <si>
    <t>Вертикальная длинаграни статичной части 1 (ВЫСОТА ПРИСОЕДИНЕНИЯ)</t>
  </si>
  <si>
    <t>Горизонтальная длина грани статичной части 1</t>
  </si>
  <si>
    <t>Горизонтальная длина грани грани динамичной части 1</t>
  </si>
  <si>
    <t>Горизонтальная длина грани грани динамичной части 2</t>
  </si>
  <si>
    <t>Динамичная часть загрузочной секции</t>
  </si>
  <si>
    <t>Корпус для NFC</t>
  </si>
  <si>
    <t>Ширина корпуса</t>
  </si>
  <si>
    <t>Длина корпуса 1</t>
  </si>
  <si>
    <t>Высота корпуса</t>
  </si>
  <si>
    <t>Размер сальника PG29</t>
  </si>
  <si>
    <t>Вырез под сальник PG29</t>
  </si>
  <si>
    <t>b_nfc</t>
  </si>
  <si>
    <t>Толщина корпуса</t>
  </si>
  <si>
    <t>t_nfc</t>
  </si>
  <si>
    <t>a_1_nfc</t>
  </si>
  <si>
    <t>h_1_nfc</t>
  </si>
  <si>
    <t>D_1_nfc</t>
  </si>
  <si>
    <t>D_2_nfc</t>
  </si>
  <si>
    <t xml:space="preserve"> мм</t>
  </si>
  <si>
    <t>a_2_nfc</t>
  </si>
  <si>
    <t>Длина корпуса 2</t>
  </si>
  <si>
    <t>D_3_nfc</t>
  </si>
  <si>
    <t>Размер заглушки</t>
  </si>
  <si>
    <t>R_d_a_1</t>
  </si>
  <si>
    <t>Скругление левой боковой части дверцы под поворот</t>
  </si>
  <si>
    <t>t_mp</t>
  </si>
  <si>
    <t>l_1_mp</t>
  </si>
  <si>
    <t>b_1_mp</t>
  </si>
  <si>
    <t>l_2_mp</t>
  </si>
  <si>
    <t>b_2_mp</t>
  </si>
  <si>
    <t>delta_mp</t>
  </si>
  <si>
    <t>Зазор</t>
  </si>
  <si>
    <t>Горизонтальные подвижные пластины</t>
  </si>
  <si>
    <t>Горизонтальная подвижная пластина 1 длина</t>
  </si>
  <si>
    <t>Горизонтальная подвижная пластина 1 ширина</t>
  </si>
  <si>
    <t>Горизонтальная подвижная пластина 2 длина</t>
  </si>
  <si>
    <t>Горизонтальная подвижная пластина 2 ширина</t>
  </si>
  <si>
    <t>D_mp</t>
  </si>
  <si>
    <t>Диаметр отверстия</t>
  </si>
  <si>
    <t>Дельта под централизацию замка</t>
  </si>
  <si>
    <t>delta_lock_2</t>
  </si>
  <si>
    <t>delta_lock_1</t>
  </si>
  <si>
    <t>r_bp</t>
  </si>
  <si>
    <t>Радиус гиба для внутреннего короба</t>
  </si>
  <si>
    <t>r_is_frame</t>
  </si>
  <si>
    <t>t_d_bp</t>
  </si>
  <si>
    <t>Толщина задней пластины дверцы</t>
  </si>
  <si>
    <t>Толщина фронтальной пластины дверцы</t>
  </si>
  <si>
    <t>r_d_bp</t>
  </si>
  <si>
    <t>Радиус скругления задней пластины дверцы</t>
  </si>
  <si>
    <t>r_is_dsp</t>
  </si>
  <si>
    <t>Радиус скругления статической и динамической частей загрузочной секции</t>
  </si>
  <si>
    <t>new_delta_1</t>
  </si>
  <si>
    <t>new_delta_2</t>
  </si>
  <si>
    <t>Изменение по вертикали</t>
  </si>
  <si>
    <t>Изменение по горизонтали</t>
  </si>
  <si>
    <t>Изменение диаметра</t>
  </si>
  <si>
    <t>Всё</t>
  </si>
  <si>
    <t>ВСё</t>
  </si>
  <si>
    <t>new_delta_3</t>
  </si>
  <si>
    <t>a_lock_1</t>
  </si>
  <si>
    <t>Длина паза под скобу замка</t>
  </si>
  <si>
    <t>Несколько деталей</t>
  </si>
  <si>
    <t>delta_h_2_bp</t>
  </si>
  <si>
    <t>l_dis_new_1</t>
  </si>
  <si>
    <t>l_dis_new_2</t>
  </si>
  <si>
    <t>delta_sis_1</t>
  </si>
  <si>
    <t>delta_sis_2</t>
  </si>
  <si>
    <t>delta_sis_3</t>
  </si>
  <si>
    <t>0.1</t>
  </si>
  <si>
    <t>new_sis_side_1</t>
  </si>
  <si>
    <t>new_sis_side_2</t>
  </si>
  <si>
    <t>new_sis_side_3</t>
  </si>
  <si>
    <t>new_sis_side_4</t>
  </si>
  <si>
    <t>l_sis_new_base_1</t>
  </si>
  <si>
    <t>Базовая длина от края трубы до края статичной части загрузочной секции</t>
  </si>
  <si>
    <t>Базовая дельта между составными частями загрузочной секции</t>
  </si>
  <si>
    <t>Дельта между салазками</t>
  </si>
  <si>
    <t>Дельта между нижними гранями (под усадку всего ряда l_sis_new_base_1 от 100мм до 500мм)</t>
  </si>
  <si>
    <t>Правая сторона базовой грани статичной части</t>
  </si>
  <si>
    <t>Верхняя сторона базовой грани статичной части</t>
  </si>
  <si>
    <t>alpha_new_sis_1</t>
  </si>
  <si>
    <t>Угол хорды статичной части</t>
  </si>
  <si>
    <t>Левая сторона базовой грани статичной части</t>
  </si>
  <si>
    <t>t_slider_new</t>
  </si>
  <si>
    <t>b_slider_new</t>
  </si>
  <si>
    <t>delta_slider_new_1</t>
  </si>
  <si>
    <t>Дельта между полосами салазок</t>
  </si>
  <si>
    <t>Толщина полос салазок</t>
  </si>
  <si>
    <t>Ширина полос салазок</t>
  </si>
  <si>
    <t>Длина полос салазок статичной части</t>
  </si>
  <si>
    <t>Основная длина динамичной части</t>
  </si>
  <si>
    <t>Основная длина динамичной части с уклоном 3 градуса (нижняя грань)</t>
  </si>
  <si>
    <t>delta_slider_new_dis</t>
  </si>
  <si>
    <t>Дельта до центра салазок</t>
  </si>
  <si>
    <t>a_slider_new_is</t>
  </si>
  <si>
    <t>a_e_box_1</t>
  </si>
  <si>
    <t>b_e_box_1</t>
  </si>
  <si>
    <t>D_c_e_box_1</t>
  </si>
  <si>
    <t>a_e_box_magnet</t>
  </si>
  <si>
    <t>b_e_box_magnet</t>
  </si>
  <si>
    <t>t_e_box_1</t>
  </si>
  <si>
    <t>Толщина металла кронштейна</t>
  </si>
  <si>
    <t>Кронштейн 1</t>
  </si>
  <si>
    <t>Длина кронштейна</t>
  </si>
  <si>
    <t>Ширина кронштейна</t>
  </si>
  <si>
    <t>Основной диаметр крепежа</t>
  </si>
  <si>
    <t>Длина магнита</t>
  </si>
  <si>
    <t>Ширина магнита</t>
  </si>
  <si>
    <t>delta_e_box_1</t>
  </si>
  <si>
    <t>delta_e_box_2</t>
  </si>
  <si>
    <t>Отступ до магнита</t>
  </si>
  <si>
    <t>Отступ до крепежа</t>
  </si>
  <si>
    <t>l_e_box_pin</t>
  </si>
  <si>
    <t>h_e_box_1</t>
  </si>
  <si>
    <t xml:space="preserve">Полка отступа по высоте </t>
  </si>
  <si>
    <t>Длина шпильки</t>
  </si>
  <si>
    <t>delta_e_box_3</t>
  </si>
  <si>
    <t>Отступ от ответной части</t>
  </si>
  <si>
    <t>Полка отступа по ширине</t>
  </si>
  <si>
    <t>b_e_box_2</t>
  </si>
  <si>
    <t>r_e_box_1</t>
  </si>
  <si>
    <t>delta_e_box_4</t>
  </si>
  <si>
    <t>Между шпильками по вертикали</t>
  </si>
  <si>
    <t>Между шпильками по горизонтали</t>
  </si>
  <si>
    <t>delta_e_box_5</t>
  </si>
  <si>
    <t>a_magnet</t>
  </si>
  <si>
    <t>b_magnet</t>
  </si>
  <si>
    <t>t_magnet</t>
  </si>
  <si>
    <t>Толщина магнита</t>
  </si>
  <si>
    <t>delta_e_box_6</t>
  </si>
  <si>
    <t>Дистанция между кронштейнами</t>
  </si>
  <si>
    <t>Кронштейн 1, Кронштейн 2</t>
  </si>
  <si>
    <t>Новая динамичная часть 1</t>
  </si>
  <si>
    <t>Новая статичная часть 1</t>
  </si>
  <si>
    <t>Салазки 1</t>
  </si>
  <si>
    <t>Дельта под проход динамической части в отверстие</t>
  </si>
  <si>
    <t>l_dis_new_3</t>
  </si>
  <si>
    <t>delta_dis_new_1</t>
  </si>
  <si>
    <t>Дельта под проход динамической части с округлением</t>
  </si>
  <si>
    <t>l_sis_new_base_2</t>
  </si>
  <si>
    <t>Дельта по размерам кронштейна</t>
  </si>
  <si>
    <t>L_tube_all</t>
  </si>
  <si>
    <t>Длина трубы</t>
  </si>
  <si>
    <t>L_tube_delta_1</t>
  </si>
  <si>
    <t>Дельта до центра инлета снизу</t>
  </si>
  <si>
    <t>l_d_1_tube</t>
  </si>
  <si>
    <t>Прорезь</t>
  </si>
  <si>
    <t>l_b_tube_1</t>
  </si>
  <si>
    <t>Полка отбортовки трубы</t>
  </si>
  <si>
    <t>R_b_tube_1</t>
  </si>
  <si>
    <t>Радиус отбортовки трубы</t>
  </si>
  <si>
    <t>alpha_new_sis_2</t>
  </si>
  <si>
    <t>Угол до внутреннего среза</t>
  </si>
  <si>
    <t>new_sis_side_2_1</t>
  </si>
  <si>
    <t>Расстояние до внутреннего среза</t>
  </si>
  <si>
    <t>betha_new_sis_1</t>
  </si>
  <si>
    <t>Второй угол статичной части</t>
  </si>
  <si>
    <t>delta_sis_4</t>
  </si>
  <si>
    <t>Дельта между верхними гранями (под сохранение размера)
входит в new_sis_side_1 и в размер по трубе</t>
  </si>
  <si>
    <t>ИЗМЕНЯЕМАЯ ШАГАМИ ДЛИНА ОТКОСА (КОНТРОЛЬ ОБЩЕЙ ДЛИНЫ СТАТИЧНОЙ ЧАСТИ!!!)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</si>
</sst>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scadia Code"/>
      <family val="3"/>
      <charset val="204"/>
    </font>
    <font>
      <b/>
      <sz val="11"/>
      <color theme="1"/>
      <name val="Cascadia Code"/>
      <family val="3"/>
      <charset val="204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Fill="1"/>
    <xf numFmtId="0" fontId="1" fillId="0" borderId="1" xfId="0" applyFont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16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top"/>
    </xf>
    <xf numFmtId="0" fontId="1" fillId="10" borderId="1" xfId="0" applyFont="1" applyFill="1" applyBorder="1" applyAlignment="1">
      <alignment horizontal="left" vertical="center"/>
    </xf>
    <xf numFmtId="0" fontId="1" fillId="15" borderId="1" xfId="0" applyFont="1" applyFill="1" applyBorder="1" applyAlignment="1">
      <alignment horizontal="left" vertical="center"/>
    </xf>
    <xf numFmtId="164" fontId="1" fillId="7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left" vertical="center"/>
    </xf>
    <xf numFmtId="0" fontId="1" fillId="16" borderId="1" xfId="0" applyFont="1" applyFill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8" borderId="1" xfId="0" applyFont="1" applyFill="1" applyBorder="1" applyAlignment="1">
      <alignment horizontal="left" vertical="center" wrapText="1"/>
    </xf>
    <xf numFmtId="164" fontId="1" fillId="0" borderId="1" xfId="0" applyNumberFormat="1" applyFont="1" applyFill="1" applyBorder="1" applyAlignment="1">
      <alignment horizontal="center"/>
    </xf>
    <xf numFmtId="0" fontId="1" fillId="10" borderId="2" xfId="0" applyFont="1" applyFill="1" applyBorder="1" applyAlignment="1">
      <alignment horizontal="left" vertical="center"/>
    </xf>
    <xf numFmtId="0" fontId="2" fillId="0" borderId="1" xfId="0" applyFont="1" applyBorder="1"/>
    <xf numFmtId="0" fontId="2" fillId="0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13" borderId="1" xfId="0" applyFont="1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9"/>
  <sheetViews>
    <sheetView tabSelected="1" topLeftCell="A120" zoomScale="130" zoomScaleNormal="130" workbookViewId="0">
      <selection activeCell="B133" sqref="B133"/>
    </sheetView>
  </sheetViews>
  <sheetFormatPr defaultRowHeight="15" x14ac:dyDescent="0.25"/>
  <cols>
    <col min="1" max="1" width="21.85546875" customWidth="1"/>
    <col min="2" max="2" width="21.7109375" customWidth="1"/>
    <col min="3" max="3" width="26.85546875" customWidth="1"/>
    <col min="4" max="4" width="66" customWidth="1"/>
    <col min="5" max="5" width="67.7109375" customWidth="1"/>
    <col min="6" max="6" width="52" customWidth="1"/>
  </cols>
  <sheetData>
    <row r="1" spans="1:5" ht="16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6.5" x14ac:dyDescent="0.3">
      <c r="A2" s="29" t="s">
        <v>254</v>
      </c>
      <c r="B2" s="3">
        <v>0</v>
      </c>
      <c r="C2" s="4" t="s">
        <v>5</v>
      </c>
      <c r="D2" s="5" t="s">
        <v>257</v>
      </c>
      <c r="E2" s="5" t="s">
        <v>259</v>
      </c>
    </row>
    <row r="3" spans="1:5" ht="16.5" x14ac:dyDescent="0.25">
      <c r="A3" s="30" t="s">
        <v>255</v>
      </c>
      <c r="B3" s="3">
        <v>0</v>
      </c>
      <c r="C3" s="4" t="s">
        <v>5</v>
      </c>
      <c r="D3" s="5" t="s">
        <v>256</v>
      </c>
      <c r="E3" s="5" t="s">
        <v>259</v>
      </c>
    </row>
    <row r="4" spans="1:5" ht="16.5" x14ac:dyDescent="0.25">
      <c r="A4" s="30" t="s">
        <v>261</v>
      </c>
      <c r="B4" s="3">
        <v>0</v>
      </c>
      <c r="C4" s="4" t="s">
        <v>5</v>
      </c>
      <c r="D4" s="5" t="s">
        <v>258</v>
      </c>
      <c r="E4" s="5" t="s">
        <v>260</v>
      </c>
    </row>
    <row r="5" spans="1:5" ht="16.5" x14ac:dyDescent="0.3">
      <c r="A5" s="29" t="s">
        <v>16</v>
      </c>
      <c r="B5" s="7">
        <v>3</v>
      </c>
      <c r="C5" s="4" t="s">
        <v>5</v>
      </c>
      <c r="D5" s="5" t="s">
        <v>18</v>
      </c>
      <c r="E5" s="5" t="s">
        <v>17</v>
      </c>
    </row>
    <row r="6" spans="1:5" ht="16.5" x14ac:dyDescent="0.25">
      <c r="A6" s="30" t="s">
        <v>6</v>
      </c>
      <c r="B6" s="7">
        <f>638+B2</f>
        <v>638</v>
      </c>
      <c r="C6" s="4" t="s">
        <v>5</v>
      </c>
      <c r="D6" s="5" t="s">
        <v>19</v>
      </c>
      <c r="E6" s="5" t="s">
        <v>17</v>
      </c>
    </row>
    <row r="7" spans="1:5" ht="16.5" x14ac:dyDescent="0.25">
      <c r="A7" s="30" t="s">
        <v>7</v>
      </c>
      <c r="B7" s="7">
        <f>538+B3</f>
        <v>538</v>
      </c>
      <c r="C7" s="4" t="s">
        <v>5</v>
      </c>
      <c r="D7" s="5" t="s">
        <v>20</v>
      </c>
      <c r="E7" s="5" t="s">
        <v>17</v>
      </c>
    </row>
    <row r="8" spans="1:5" ht="16.5" x14ac:dyDescent="0.25">
      <c r="A8" s="30" t="s">
        <v>9</v>
      </c>
      <c r="B8" s="7">
        <v>50</v>
      </c>
      <c r="C8" s="4" t="s">
        <v>5</v>
      </c>
      <c r="D8" s="5" t="s">
        <v>26</v>
      </c>
      <c r="E8" s="5" t="s">
        <v>17</v>
      </c>
    </row>
    <row r="9" spans="1:5" ht="16.5" x14ac:dyDescent="0.25">
      <c r="A9" s="30" t="s">
        <v>8</v>
      </c>
      <c r="B9" s="7">
        <v>50</v>
      </c>
      <c r="C9" s="4" t="s">
        <v>5</v>
      </c>
      <c r="D9" s="5" t="s">
        <v>25</v>
      </c>
      <c r="E9" s="5" t="s">
        <v>17</v>
      </c>
    </row>
    <row r="10" spans="1:5" ht="16.5" x14ac:dyDescent="0.25">
      <c r="A10" s="31" t="s">
        <v>12</v>
      </c>
      <c r="B10" s="7">
        <f>473.5+B2</f>
        <v>473.5</v>
      </c>
      <c r="C10" s="4" t="s">
        <v>5</v>
      </c>
      <c r="D10" s="9" t="s">
        <v>21</v>
      </c>
      <c r="E10" s="9" t="s">
        <v>43</v>
      </c>
    </row>
    <row r="11" spans="1:5" ht="16.5" x14ac:dyDescent="0.25">
      <c r="A11" s="30" t="s">
        <v>13</v>
      </c>
      <c r="B11" s="10">
        <f>B7-B9*2</f>
        <v>438</v>
      </c>
      <c r="C11" s="4" t="s">
        <v>5</v>
      </c>
      <c r="D11" s="9" t="s">
        <v>22</v>
      </c>
      <c r="E11" s="9" t="s">
        <v>43</v>
      </c>
    </row>
    <row r="12" spans="1:5" ht="16.5" x14ac:dyDescent="0.25">
      <c r="A12" s="30" t="s">
        <v>11</v>
      </c>
      <c r="B12" s="11">
        <f>((B6-B8-B10)-B14)/2+B8+B10</f>
        <v>560.75</v>
      </c>
      <c r="C12" s="4" t="s">
        <v>5</v>
      </c>
      <c r="D12" s="5" t="s">
        <v>27</v>
      </c>
      <c r="E12" s="5" t="s">
        <v>17</v>
      </c>
    </row>
    <row r="13" spans="1:5" ht="16.5" x14ac:dyDescent="0.25">
      <c r="A13" s="30" t="s">
        <v>10</v>
      </c>
      <c r="B13" s="11">
        <f>B7/2-B15/2</f>
        <v>239</v>
      </c>
      <c r="C13" s="4" t="s">
        <v>5</v>
      </c>
      <c r="D13" s="5" t="s">
        <v>28</v>
      </c>
      <c r="E13" s="5" t="s">
        <v>17</v>
      </c>
    </row>
    <row r="14" spans="1:5" ht="16.5" x14ac:dyDescent="0.25">
      <c r="A14" s="30" t="s">
        <v>14</v>
      </c>
      <c r="B14" s="7">
        <v>40</v>
      </c>
      <c r="C14" s="4" t="s">
        <v>5</v>
      </c>
      <c r="D14" s="5" t="s">
        <v>23</v>
      </c>
      <c r="E14" s="5" t="s">
        <v>17</v>
      </c>
    </row>
    <row r="15" spans="1:5" ht="16.5" x14ac:dyDescent="0.25">
      <c r="A15" s="30" t="s">
        <v>15</v>
      </c>
      <c r="B15" s="7">
        <v>60</v>
      </c>
      <c r="C15" s="4" t="s">
        <v>5</v>
      </c>
      <c r="D15" s="5" t="s">
        <v>24</v>
      </c>
      <c r="E15" s="5" t="s">
        <v>17</v>
      </c>
    </row>
    <row r="16" spans="1:5" ht="16.5" x14ac:dyDescent="0.3">
      <c r="A16" s="29" t="s">
        <v>29</v>
      </c>
      <c r="B16" s="7">
        <v>1.5</v>
      </c>
      <c r="C16" s="4" t="s">
        <v>5</v>
      </c>
      <c r="D16" s="9" t="s">
        <v>30</v>
      </c>
      <c r="E16" s="9" t="s">
        <v>44</v>
      </c>
    </row>
    <row r="17" spans="1:6" ht="16.5" x14ac:dyDescent="0.3">
      <c r="A17" s="29" t="s">
        <v>244</v>
      </c>
      <c r="B17" s="7">
        <v>1.8</v>
      </c>
      <c r="C17" s="4" t="s">
        <v>5</v>
      </c>
      <c r="D17" s="9" t="s">
        <v>245</v>
      </c>
      <c r="E17" s="9" t="s">
        <v>44</v>
      </c>
    </row>
    <row r="18" spans="1:6" ht="16.5" x14ac:dyDescent="0.25">
      <c r="A18" s="30" t="s">
        <v>31</v>
      </c>
      <c r="B18" s="12">
        <f>40-B5+(42-33)</f>
        <v>46</v>
      </c>
      <c r="C18" s="4" t="s">
        <v>5</v>
      </c>
      <c r="D18" s="13" t="s">
        <v>32</v>
      </c>
      <c r="E18" s="13" t="s">
        <v>33</v>
      </c>
    </row>
    <row r="19" spans="1:6" ht="16.5" x14ac:dyDescent="0.25">
      <c r="A19" s="30" t="s">
        <v>38</v>
      </c>
      <c r="B19" s="12">
        <v>50</v>
      </c>
      <c r="C19" s="4" t="s">
        <v>5</v>
      </c>
      <c r="D19" s="14" t="s">
        <v>35</v>
      </c>
      <c r="E19" s="14" t="s">
        <v>42</v>
      </c>
    </row>
    <row r="20" spans="1:6" ht="16.5" x14ac:dyDescent="0.25">
      <c r="A20" s="30" t="s">
        <v>39</v>
      </c>
      <c r="B20" s="12">
        <v>18</v>
      </c>
      <c r="C20" s="4" t="s">
        <v>5</v>
      </c>
      <c r="D20" s="14" t="s">
        <v>34</v>
      </c>
      <c r="E20" s="14" t="s">
        <v>42</v>
      </c>
    </row>
    <row r="21" spans="1:6" ht="16.5" x14ac:dyDescent="0.25">
      <c r="A21" s="30" t="s">
        <v>265</v>
      </c>
      <c r="B21" s="12">
        <v>25</v>
      </c>
      <c r="C21" s="4" t="s">
        <v>5</v>
      </c>
      <c r="D21" s="14" t="s">
        <v>34</v>
      </c>
      <c r="E21" s="14" t="s">
        <v>42</v>
      </c>
    </row>
    <row r="22" spans="1:6" ht="16.5" x14ac:dyDescent="0.25">
      <c r="A22" s="30" t="s">
        <v>40</v>
      </c>
      <c r="B22" s="12">
        <f>350+B2</f>
        <v>350</v>
      </c>
      <c r="C22" s="4" t="s">
        <v>5</v>
      </c>
      <c r="D22" s="14" t="s">
        <v>36</v>
      </c>
      <c r="E22" s="14" t="s">
        <v>42</v>
      </c>
    </row>
    <row r="23" spans="1:6" ht="16.5" x14ac:dyDescent="0.25">
      <c r="A23" s="30" t="s">
        <v>41</v>
      </c>
      <c r="B23" s="12">
        <f>400+B3</f>
        <v>400</v>
      </c>
      <c r="C23" s="4" t="s">
        <v>5</v>
      </c>
      <c r="D23" s="14" t="s">
        <v>37</v>
      </c>
      <c r="E23" s="14" t="s">
        <v>42</v>
      </c>
      <c r="F23" s="1"/>
    </row>
    <row r="24" spans="1:6" ht="16.5" x14ac:dyDescent="0.25">
      <c r="A24" s="32" t="s">
        <v>52</v>
      </c>
      <c r="B24" s="7">
        <v>4</v>
      </c>
      <c r="C24" s="4" t="s">
        <v>5</v>
      </c>
      <c r="D24" s="15" t="s">
        <v>51</v>
      </c>
      <c r="E24" s="15" t="s">
        <v>45</v>
      </c>
    </row>
    <row r="25" spans="1:6" ht="16.5" x14ac:dyDescent="0.25">
      <c r="A25" s="32" t="s">
        <v>53</v>
      </c>
      <c r="B25" s="7">
        <v>4</v>
      </c>
      <c r="C25" s="4" t="s">
        <v>5</v>
      </c>
      <c r="D25" s="15" t="s">
        <v>54</v>
      </c>
      <c r="E25" s="15" t="s">
        <v>45</v>
      </c>
    </row>
    <row r="26" spans="1:6" ht="16.5" x14ac:dyDescent="0.25">
      <c r="A26" s="30" t="s">
        <v>50</v>
      </c>
      <c r="B26" s="2">
        <f>B5</f>
        <v>3</v>
      </c>
      <c r="C26" s="4" t="s">
        <v>5</v>
      </c>
      <c r="D26" s="15" t="s">
        <v>249</v>
      </c>
      <c r="E26" s="15" t="s">
        <v>45</v>
      </c>
    </row>
    <row r="27" spans="1:6" ht="16.5" x14ac:dyDescent="0.25">
      <c r="A27" s="30" t="s">
        <v>247</v>
      </c>
      <c r="B27" s="2">
        <v>3</v>
      </c>
      <c r="C27" s="4" t="s">
        <v>5</v>
      </c>
      <c r="D27" s="15" t="s">
        <v>248</v>
      </c>
      <c r="E27" s="15" t="s">
        <v>45</v>
      </c>
    </row>
    <row r="28" spans="1:6" ht="16.5" x14ac:dyDescent="0.25">
      <c r="A28" s="30" t="s">
        <v>250</v>
      </c>
      <c r="B28" s="2">
        <f>3.5</f>
        <v>3.5</v>
      </c>
      <c r="C28" s="4" t="s">
        <v>5</v>
      </c>
      <c r="D28" s="15" t="s">
        <v>251</v>
      </c>
      <c r="E28" s="15" t="s">
        <v>45</v>
      </c>
    </row>
    <row r="29" spans="1:6" ht="16.5" x14ac:dyDescent="0.25">
      <c r="A29" s="30" t="s">
        <v>46</v>
      </c>
      <c r="B29" s="2">
        <f>B10-B24*2</f>
        <v>465.5</v>
      </c>
      <c r="C29" s="4" t="s">
        <v>5</v>
      </c>
      <c r="D29" s="15" t="s">
        <v>48</v>
      </c>
      <c r="E29" s="15" t="s">
        <v>45</v>
      </c>
    </row>
    <row r="30" spans="1:6" ht="16.5" x14ac:dyDescent="0.25">
      <c r="A30" s="30" t="s">
        <v>47</v>
      </c>
      <c r="B30" s="10">
        <f>B11-B24*2</f>
        <v>430</v>
      </c>
      <c r="C30" s="4" t="s">
        <v>5</v>
      </c>
      <c r="D30" s="6" t="s">
        <v>49</v>
      </c>
      <c r="E30" s="15" t="s">
        <v>45</v>
      </c>
    </row>
    <row r="31" spans="1:6" ht="16.5" x14ac:dyDescent="0.25">
      <c r="A31" s="30" t="s">
        <v>56</v>
      </c>
      <c r="B31" s="2">
        <f>B18+B5</f>
        <v>49</v>
      </c>
      <c r="C31" s="4" t="s">
        <v>5</v>
      </c>
      <c r="D31" s="15" t="s">
        <v>55</v>
      </c>
      <c r="E31" s="15" t="s">
        <v>45</v>
      </c>
    </row>
    <row r="32" spans="1:6" ht="16.5" x14ac:dyDescent="0.25">
      <c r="A32" s="30" t="s">
        <v>57</v>
      </c>
      <c r="B32" s="10">
        <f>B31-B26-B25</f>
        <v>42</v>
      </c>
      <c r="C32" s="4" t="s">
        <v>5</v>
      </c>
      <c r="D32" s="6" t="s">
        <v>58</v>
      </c>
      <c r="E32" s="15" t="s">
        <v>45</v>
      </c>
    </row>
    <row r="33" spans="1:5" ht="16.5" x14ac:dyDescent="0.25">
      <c r="A33" s="30" t="s">
        <v>66</v>
      </c>
      <c r="B33" s="7">
        <f>10+1.6</f>
        <v>11.6</v>
      </c>
      <c r="C33" s="4" t="s">
        <v>5</v>
      </c>
      <c r="D33" s="9" t="s">
        <v>59</v>
      </c>
      <c r="E33" s="9" t="s">
        <v>96</v>
      </c>
    </row>
    <row r="34" spans="1:5" ht="16.5" x14ac:dyDescent="0.25">
      <c r="A34" s="30" t="s">
        <v>67</v>
      </c>
      <c r="B34" s="12">
        <v>14</v>
      </c>
      <c r="C34" s="4" t="s">
        <v>5</v>
      </c>
      <c r="D34" s="9" t="s">
        <v>60</v>
      </c>
      <c r="E34" s="9" t="s">
        <v>96</v>
      </c>
    </row>
    <row r="35" spans="1:5" ht="16.5" x14ac:dyDescent="0.25">
      <c r="A35" s="30" t="s">
        <v>61</v>
      </c>
      <c r="B35" s="7">
        <v>1.5</v>
      </c>
      <c r="C35" s="4" t="s">
        <v>5</v>
      </c>
      <c r="D35" s="15" t="s">
        <v>62</v>
      </c>
      <c r="E35" s="15" t="s">
        <v>45</v>
      </c>
    </row>
    <row r="36" spans="1:5" ht="16.5" x14ac:dyDescent="0.25">
      <c r="A36" s="30" t="s">
        <v>139</v>
      </c>
      <c r="B36" s="7">
        <v>1.8</v>
      </c>
      <c r="C36" s="4" t="s">
        <v>5</v>
      </c>
      <c r="D36" s="15" t="s">
        <v>140</v>
      </c>
      <c r="E36" s="15" t="s">
        <v>45</v>
      </c>
    </row>
    <row r="37" spans="1:5" ht="16.5" x14ac:dyDescent="0.25">
      <c r="A37" s="30" t="s">
        <v>143</v>
      </c>
      <c r="B37" s="7">
        <f>B36/2</f>
        <v>0.9</v>
      </c>
      <c r="C37" s="4" t="s">
        <v>5</v>
      </c>
      <c r="D37" s="15" t="s">
        <v>144</v>
      </c>
      <c r="E37" s="15" t="s">
        <v>45</v>
      </c>
    </row>
    <row r="38" spans="1:5" ht="16.5" x14ac:dyDescent="0.25">
      <c r="A38" s="33" t="s">
        <v>74</v>
      </c>
      <c r="B38" s="16">
        <f>((B10-B8-B22)-B24)</f>
        <v>69.5</v>
      </c>
      <c r="C38" s="4" t="s">
        <v>5</v>
      </c>
      <c r="D38" s="6" t="s">
        <v>73</v>
      </c>
      <c r="E38" s="15" t="s">
        <v>45</v>
      </c>
    </row>
    <row r="39" spans="1:5" ht="16.5" x14ac:dyDescent="0.25">
      <c r="A39" s="30" t="s">
        <v>141</v>
      </c>
      <c r="B39" s="7">
        <f>1*(2*B35+2*B36+0.1+3.3)+4</f>
        <v>14</v>
      </c>
      <c r="C39" s="4" t="s">
        <v>5</v>
      </c>
      <c r="D39" s="15" t="s">
        <v>142</v>
      </c>
      <c r="E39" s="15" t="s">
        <v>45</v>
      </c>
    </row>
    <row r="40" spans="1:5" ht="16.5" x14ac:dyDescent="0.25">
      <c r="A40" s="30" t="s">
        <v>71</v>
      </c>
      <c r="B40" s="10">
        <f>B32-B34-B39</f>
        <v>14</v>
      </c>
      <c r="C40" s="4" t="s">
        <v>5</v>
      </c>
      <c r="D40" s="6" t="s">
        <v>63</v>
      </c>
      <c r="E40" s="15" t="s">
        <v>45</v>
      </c>
    </row>
    <row r="41" spans="1:5" ht="16.5" x14ac:dyDescent="0.25">
      <c r="A41" s="30" t="s">
        <v>72</v>
      </c>
      <c r="B41" s="7">
        <f>36-6</f>
        <v>30</v>
      </c>
      <c r="C41" s="4" t="s">
        <v>5</v>
      </c>
      <c r="D41" s="6" t="s">
        <v>64</v>
      </c>
      <c r="E41" s="15" t="s">
        <v>45</v>
      </c>
    </row>
    <row r="42" spans="1:5" ht="16.5" x14ac:dyDescent="0.25">
      <c r="A42" s="30" t="s">
        <v>243</v>
      </c>
      <c r="B42" s="10">
        <f>B20-(B44-B35-B36-B20)</f>
        <v>-0.20000000000000284</v>
      </c>
      <c r="C42" s="4" t="s">
        <v>5</v>
      </c>
      <c r="D42" s="6" t="s">
        <v>241</v>
      </c>
      <c r="E42" s="15" t="s">
        <v>45</v>
      </c>
    </row>
    <row r="43" spans="1:5" ht="16.5" x14ac:dyDescent="0.25">
      <c r="A43" s="30" t="s">
        <v>242</v>
      </c>
      <c r="B43" s="10">
        <f>B20-B42</f>
        <v>18.200000000000003</v>
      </c>
      <c r="C43" s="4" t="s">
        <v>5</v>
      </c>
      <c r="D43" s="6" t="s">
        <v>241</v>
      </c>
      <c r="E43" s="15" t="s">
        <v>45</v>
      </c>
    </row>
    <row r="44" spans="1:5" ht="16.5" x14ac:dyDescent="0.25">
      <c r="A44" s="30" t="s">
        <v>69</v>
      </c>
      <c r="B44" s="10">
        <f>B38-B41</f>
        <v>39.5</v>
      </c>
      <c r="C44" s="4" t="s">
        <v>5</v>
      </c>
      <c r="D44" s="6" t="s">
        <v>65</v>
      </c>
      <c r="E44" s="15" t="s">
        <v>45</v>
      </c>
    </row>
    <row r="45" spans="1:5" ht="16.5" x14ac:dyDescent="0.25">
      <c r="A45" s="30" t="s">
        <v>70</v>
      </c>
      <c r="B45" s="10">
        <f>B30-B35*2</f>
        <v>427</v>
      </c>
      <c r="C45" s="4" t="s">
        <v>5</v>
      </c>
      <c r="D45" s="6" t="s">
        <v>68</v>
      </c>
      <c r="E45" s="15" t="s">
        <v>45</v>
      </c>
    </row>
    <row r="46" spans="1:5" ht="16.5" x14ac:dyDescent="0.25">
      <c r="A46" s="33" t="s">
        <v>75</v>
      </c>
      <c r="B46" s="16">
        <f>B19-B24</f>
        <v>46</v>
      </c>
      <c r="C46" s="4" t="s">
        <v>5</v>
      </c>
      <c r="D46" s="6" t="s">
        <v>73</v>
      </c>
      <c r="E46" s="15" t="s">
        <v>45</v>
      </c>
    </row>
    <row r="47" spans="1:5" ht="16.5" x14ac:dyDescent="0.25">
      <c r="A47" s="30" t="s">
        <v>76</v>
      </c>
      <c r="B47" s="10">
        <f>B29-B46-B38</f>
        <v>350</v>
      </c>
      <c r="C47" s="4" t="s">
        <v>5</v>
      </c>
      <c r="D47" s="6" t="s">
        <v>77</v>
      </c>
      <c r="E47" s="15" t="s">
        <v>45</v>
      </c>
    </row>
    <row r="48" spans="1:5" ht="16.5" x14ac:dyDescent="0.25">
      <c r="A48" s="30" t="s">
        <v>80</v>
      </c>
      <c r="B48" s="12">
        <v>20</v>
      </c>
      <c r="C48" s="4" t="s">
        <v>5</v>
      </c>
      <c r="D48" s="6" t="s">
        <v>83</v>
      </c>
      <c r="E48" s="15" t="s">
        <v>45</v>
      </c>
    </row>
    <row r="49" spans="1:5" ht="16.5" x14ac:dyDescent="0.25">
      <c r="A49" s="30" t="s">
        <v>81</v>
      </c>
      <c r="B49" s="12">
        <v>20</v>
      </c>
      <c r="C49" s="4" t="s">
        <v>5</v>
      </c>
      <c r="D49" s="6" t="s">
        <v>84</v>
      </c>
      <c r="E49" s="15" t="s">
        <v>45</v>
      </c>
    </row>
    <row r="50" spans="1:5" ht="16.5" x14ac:dyDescent="0.25">
      <c r="A50" s="30" t="s">
        <v>82</v>
      </c>
      <c r="B50" s="12">
        <v>5</v>
      </c>
      <c r="C50" s="4" t="s">
        <v>5</v>
      </c>
      <c r="D50" s="6" t="s">
        <v>85</v>
      </c>
      <c r="E50" s="15" t="s">
        <v>45</v>
      </c>
    </row>
    <row r="51" spans="1:5" ht="16.5" x14ac:dyDescent="0.25">
      <c r="A51" s="30" t="s">
        <v>86</v>
      </c>
      <c r="B51" s="10">
        <f>B29-B38-B46</f>
        <v>350</v>
      </c>
      <c r="C51" s="4" t="s">
        <v>5</v>
      </c>
      <c r="D51" s="6" t="s">
        <v>78</v>
      </c>
      <c r="E51" s="15" t="s">
        <v>45</v>
      </c>
    </row>
    <row r="52" spans="1:5" ht="16.5" x14ac:dyDescent="0.25">
      <c r="A52" s="30" t="s">
        <v>87</v>
      </c>
      <c r="B52" s="10">
        <f>B30-B35*2</f>
        <v>427</v>
      </c>
      <c r="C52" s="4" t="s">
        <v>5</v>
      </c>
      <c r="D52" s="6" t="s">
        <v>79</v>
      </c>
      <c r="E52" s="15" t="s">
        <v>45</v>
      </c>
    </row>
    <row r="53" spans="1:5" ht="16.5" x14ac:dyDescent="0.25">
      <c r="A53" s="30" t="s">
        <v>109</v>
      </c>
      <c r="B53" s="12">
        <v>15</v>
      </c>
      <c r="C53" s="4" t="s">
        <v>5</v>
      </c>
      <c r="D53" s="14" t="s">
        <v>110</v>
      </c>
      <c r="E53" s="14" t="s">
        <v>113</v>
      </c>
    </row>
    <row r="54" spans="1:5" ht="16.5" x14ac:dyDescent="0.25">
      <c r="A54" s="30" t="s">
        <v>111</v>
      </c>
      <c r="B54" s="12">
        <v>6.5</v>
      </c>
      <c r="C54" s="4" t="s">
        <v>5</v>
      </c>
      <c r="D54" s="14" t="s">
        <v>112</v>
      </c>
      <c r="E54" s="14" t="s">
        <v>113</v>
      </c>
    </row>
    <row r="55" spans="1:5" ht="16.5" x14ac:dyDescent="0.25">
      <c r="A55" s="30" t="s">
        <v>122</v>
      </c>
      <c r="B55" s="12">
        <v>12</v>
      </c>
      <c r="C55" s="4" t="s">
        <v>5</v>
      </c>
      <c r="D55" s="14" t="s">
        <v>123</v>
      </c>
      <c r="E55" s="14" t="s">
        <v>113</v>
      </c>
    </row>
    <row r="56" spans="1:5" ht="16.5" x14ac:dyDescent="0.25">
      <c r="A56" s="30" t="s">
        <v>114</v>
      </c>
      <c r="B56" s="10">
        <f>1.5*B53+7.5</f>
        <v>30</v>
      </c>
      <c r="C56" s="4" t="s">
        <v>5</v>
      </c>
      <c r="D56" s="6" t="s">
        <v>119</v>
      </c>
      <c r="E56" s="15" t="s">
        <v>45</v>
      </c>
    </row>
    <row r="57" spans="1:5" ht="16.5" x14ac:dyDescent="0.25">
      <c r="A57" s="30" t="s">
        <v>115</v>
      </c>
      <c r="B57" s="10">
        <f>B34</f>
        <v>14</v>
      </c>
      <c r="C57" s="4" t="s">
        <v>5</v>
      </c>
      <c r="D57" s="6" t="s">
        <v>118</v>
      </c>
      <c r="E57" s="15" t="s">
        <v>45</v>
      </c>
    </row>
    <row r="58" spans="1:5" ht="16.5" x14ac:dyDescent="0.25">
      <c r="A58" s="30" t="s">
        <v>120</v>
      </c>
      <c r="B58" s="10">
        <f>B33-0.1</f>
        <v>11.5</v>
      </c>
      <c r="C58" s="4" t="s">
        <v>5</v>
      </c>
      <c r="D58" s="6" t="s">
        <v>116</v>
      </c>
      <c r="E58" s="15" t="s">
        <v>45</v>
      </c>
    </row>
    <row r="59" spans="1:5" ht="16.5" x14ac:dyDescent="0.25">
      <c r="A59" s="30" t="s">
        <v>121</v>
      </c>
      <c r="B59" s="10">
        <f>B34</f>
        <v>14</v>
      </c>
      <c r="C59" s="4" t="s">
        <v>5</v>
      </c>
      <c r="D59" s="6" t="s">
        <v>117</v>
      </c>
      <c r="E59" s="15" t="s">
        <v>45</v>
      </c>
    </row>
    <row r="60" spans="1:5" ht="16.5" x14ac:dyDescent="0.25">
      <c r="A60" s="30" t="s">
        <v>225</v>
      </c>
      <c r="B60" s="12">
        <f>12</f>
        <v>12</v>
      </c>
      <c r="C60" s="4" t="s">
        <v>5</v>
      </c>
      <c r="D60" s="6" t="s">
        <v>226</v>
      </c>
      <c r="E60" s="15" t="s">
        <v>45</v>
      </c>
    </row>
    <row r="61" spans="1:5" ht="16.5" x14ac:dyDescent="0.25">
      <c r="A61" s="30" t="s">
        <v>89</v>
      </c>
      <c r="B61" s="10">
        <f>B51</f>
        <v>350</v>
      </c>
      <c r="C61" s="4" t="s">
        <v>5</v>
      </c>
      <c r="D61" s="8" t="s">
        <v>102</v>
      </c>
      <c r="E61" s="8" t="s">
        <v>88</v>
      </c>
    </row>
    <row r="62" spans="1:5" ht="16.5" x14ac:dyDescent="0.25">
      <c r="A62" s="30" t="s">
        <v>90</v>
      </c>
      <c r="B62" s="12">
        <f>6</f>
        <v>6</v>
      </c>
      <c r="C62" s="4" t="s">
        <v>5</v>
      </c>
      <c r="D62" s="8" t="s">
        <v>101</v>
      </c>
      <c r="E62" s="8" t="s">
        <v>88</v>
      </c>
    </row>
    <row r="63" spans="1:5" ht="16.5" x14ac:dyDescent="0.25">
      <c r="A63" s="30" t="s">
        <v>91</v>
      </c>
      <c r="B63" s="12">
        <f>6</f>
        <v>6</v>
      </c>
      <c r="C63" s="4" t="s">
        <v>5</v>
      </c>
      <c r="D63" s="8" t="s">
        <v>103</v>
      </c>
      <c r="E63" s="8" t="s">
        <v>88</v>
      </c>
    </row>
    <row r="64" spans="1:5" ht="16.5" x14ac:dyDescent="0.25">
      <c r="A64" s="30" t="s">
        <v>93</v>
      </c>
      <c r="B64" s="10">
        <f>B23+2*B62</f>
        <v>412</v>
      </c>
      <c r="C64" s="4" t="s">
        <v>5</v>
      </c>
      <c r="D64" s="8" t="s">
        <v>104</v>
      </c>
      <c r="E64" s="8" t="s">
        <v>92</v>
      </c>
    </row>
    <row r="65" spans="1:5" ht="16.5" x14ac:dyDescent="0.25">
      <c r="A65" s="30" t="s">
        <v>94</v>
      </c>
      <c r="B65" s="10">
        <f>B62</f>
        <v>6</v>
      </c>
      <c r="C65" s="4" t="s">
        <v>5</v>
      </c>
      <c r="D65" s="8" t="s">
        <v>105</v>
      </c>
      <c r="E65" s="8" t="s">
        <v>92</v>
      </c>
    </row>
    <row r="66" spans="1:5" ht="16.5" x14ac:dyDescent="0.25">
      <c r="A66" s="30" t="s">
        <v>95</v>
      </c>
      <c r="B66" s="10">
        <f>B63</f>
        <v>6</v>
      </c>
      <c r="C66" s="4" t="s">
        <v>5</v>
      </c>
      <c r="D66" s="8" t="s">
        <v>106</v>
      </c>
      <c r="E66" s="8" t="s">
        <v>92</v>
      </c>
    </row>
    <row r="67" spans="1:5" ht="16.5" x14ac:dyDescent="0.25">
      <c r="A67" s="30" t="s">
        <v>97</v>
      </c>
      <c r="B67" s="10">
        <f>B29-B33*2-B56-B58-B37-0.1</f>
        <v>399.8</v>
      </c>
      <c r="C67" s="4" t="s">
        <v>5</v>
      </c>
      <c r="D67" s="17" t="s">
        <v>108</v>
      </c>
      <c r="E67" s="17" t="s">
        <v>99</v>
      </c>
    </row>
    <row r="68" spans="1:5" ht="16.5" x14ac:dyDescent="0.25">
      <c r="A68" s="30" t="s">
        <v>98</v>
      </c>
      <c r="B68" s="10">
        <f>B30</f>
        <v>430</v>
      </c>
      <c r="C68" s="4" t="s">
        <v>5</v>
      </c>
      <c r="D68" s="17" t="s">
        <v>107</v>
      </c>
      <c r="E68" s="17" t="s">
        <v>100</v>
      </c>
    </row>
    <row r="69" spans="1:5" ht="16.5" x14ac:dyDescent="0.25">
      <c r="A69" s="30" t="s">
        <v>132</v>
      </c>
      <c r="B69" s="10">
        <f>B10+B16*2</f>
        <v>476.5</v>
      </c>
      <c r="C69" s="4" t="s">
        <v>5</v>
      </c>
      <c r="D69" s="8" t="s">
        <v>125</v>
      </c>
      <c r="E69" s="8" t="s">
        <v>124</v>
      </c>
    </row>
    <row r="70" spans="1:5" ht="16.5" x14ac:dyDescent="0.25">
      <c r="A70" s="30" t="s">
        <v>133</v>
      </c>
      <c r="B70" s="10">
        <f>B11+B16*2</f>
        <v>441</v>
      </c>
      <c r="C70" s="4" t="s">
        <v>5</v>
      </c>
      <c r="D70" s="8" t="s">
        <v>126</v>
      </c>
      <c r="E70" s="8" t="s">
        <v>124</v>
      </c>
    </row>
    <row r="71" spans="1:5" ht="16.5" x14ac:dyDescent="0.25">
      <c r="A71" s="30" t="s">
        <v>134</v>
      </c>
      <c r="B71" s="10">
        <f>B22</f>
        <v>350</v>
      </c>
      <c r="C71" s="4" t="s">
        <v>5</v>
      </c>
      <c r="D71" s="8" t="s">
        <v>127</v>
      </c>
      <c r="E71" s="8" t="s">
        <v>124</v>
      </c>
    </row>
    <row r="72" spans="1:5" ht="16.5" x14ac:dyDescent="0.25">
      <c r="A72" s="30" t="s">
        <v>135</v>
      </c>
      <c r="B72" s="10">
        <f>B23</f>
        <v>400</v>
      </c>
      <c r="C72" s="4" t="s">
        <v>5</v>
      </c>
      <c r="D72" s="8" t="s">
        <v>128</v>
      </c>
      <c r="E72" s="8" t="s">
        <v>124</v>
      </c>
    </row>
    <row r="73" spans="1:5" ht="16.5" x14ac:dyDescent="0.25">
      <c r="A73" s="30" t="s">
        <v>137</v>
      </c>
      <c r="B73" s="10">
        <f>B19+B35</f>
        <v>51.5</v>
      </c>
      <c r="C73" s="4" t="s">
        <v>5</v>
      </c>
      <c r="D73" s="8" t="s">
        <v>129</v>
      </c>
      <c r="E73" s="8" t="s">
        <v>124</v>
      </c>
    </row>
    <row r="74" spans="1:5" ht="16.5" x14ac:dyDescent="0.25">
      <c r="A74" s="30" t="s">
        <v>136</v>
      </c>
      <c r="B74" s="10">
        <f>B20+B35</f>
        <v>19.5</v>
      </c>
      <c r="C74" s="4" t="s">
        <v>5</v>
      </c>
      <c r="D74" s="8" t="s">
        <v>130</v>
      </c>
      <c r="E74" s="8" t="s">
        <v>124</v>
      </c>
    </row>
    <row r="75" spans="1:5" ht="16.5" x14ac:dyDescent="0.25">
      <c r="A75" s="30" t="s">
        <v>138</v>
      </c>
      <c r="B75" s="12">
        <v>3</v>
      </c>
      <c r="C75" s="4" t="s">
        <v>5</v>
      </c>
      <c r="D75" s="8" t="s">
        <v>131</v>
      </c>
      <c r="E75" s="8" t="s">
        <v>124</v>
      </c>
    </row>
    <row r="76" spans="1:5" ht="16.5" x14ac:dyDescent="0.25">
      <c r="A76" s="30" t="s">
        <v>146</v>
      </c>
      <c r="B76" s="12">
        <v>2</v>
      </c>
      <c r="C76" s="4" t="s">
        <v>5</v>
      </c>
      <c r="D76" s="13" t="s">
        <v>148</v>
      </c>
      <c r="E76" s="13" t="s">
        <v>145</v>
      </c>
    </row>
    <row r="77" spans="1:5" ht="16.5" x14ac:dyDescent="0.25">
      <c r="A77" s="30" t="s">
        <v>246</v>
      </c>
      <c r="B77" s="12">
        <v>2.5</v>
      </c>
      <c r="C77" s="4" t="s">
        <v>5</v>
      </c>
      <c r="D77" s="13" t="s">
        <v>148</v>
      </c>
      <c r="E77" s="13" t="s">
        <v>145</v>
      </c>
    </row>
    <row r="78" spans="1:5" ht="16.5" x14ac:dyDescent="0.25">
      <c r="A78" s="30" t="s">
        <v>147</v>
      </c>
      <c r="B78" s="10">
        <f>B10 + 2 * B16</f>
        <v>476.5</v>
      </c>
      <c r="C78" s="4" t="s">
        <v>5</v>
      </c>
      <c r="D78" s="13" t="s">
        <v>149</v>
      </c>
      <c r="E78" s="13" t="s">
        <v>145</v>
      </c>
    </row>
    <row r="79" spans="1:5" ht="16.5" x14ac:dyDescent="0.25">
      <c r="A79" s="30" t="s">
        <v>151</v>
      </c>
      <c r="B79" s="10">
        <f>B11 + 2*B16</f>
        <v>441</v>
      </c>
      <c r="C79" s="4" t="s">
        <v>5</v>
      </c>
      <c r="D79" s="13" t="s">
        <v>150</v>
      </c>
      <c r="E79" s="13" t="s">
        <v>145</v>
      </c>
    </row>
    <row r="80" spans="1:5" ht="16.5" x14ac:dyDescent="0.25">
      <c r="A80" s="30" t="s">
        <v>152</v>
      </c>
      <c r="B80" s="10">
        <f>B19 + B16</f>
        <v>51.5</v>
      </c>
      <c r="C80" s="4" t="s">
        <v>5</v>
      </c>
      <c r="D80" s="13" t="s">
        <v>156</v>
      </c>
      <c r="E80" s="13" t="s">
        <v>145</v>
      </c>
    </row>
    <row r="81" spans="1:5" ht="16.5" x14ac:dyDescent="0.25">
      <c r="A81" s="30" t="s">
        <v>153</v>
      </c>
      <c r="B81" s="10">
        <f>B20 + B16</f>
        <v>19.5</v>
      </c>
      <c r="C81" s="4" t="s">
        <v>5</v>
      </c>
      <c r="D81" s="13" t="s">
        <v>157</v>
      </c>
      <c r="E81" s="13" t="s">
        <v>145</v>
      </c>
    </row>
    <row r="82" spans="1:5" ht="16.5" x14ac:dyDescent="0.25">
      <c r="A82" s="30" t="s">
        <v>154</v>
      </c>
      <c r="B82" s="10">
        <f t="shared" ref="B82:B83" si="0">B22</f>
        <v>350</v>
      </c>
      <c r="C82" s="4" t="s">
        <v>5</v>
      </c>
      <c r="D82" s="13" t="s">
        <v>158</v>
      </c>
      <c r="E82" s="13" t="s">
        <v>145</v>
      </c>
    </row>
    <row r="83" spans="1:5" ht="16.5" x14ac:dyDescent="0.25">
      <c r="A83" s="30" t="s">
        <v>155</v>
      </c>
      <c r="B83" s="10">
        <f t="shared" si="0"/>
        <v>400</v>
      </c>
      <c r="C83" s="4" t="s">
        <v>5</v>
      </c>
      <c r="D83" s="13" t="s">
        <v>159</v>
      </c>
      <c r="E83" s="13" t="s">
        <v>145</v>
      </c>
    </row>
    <row r="84" spans="1:5" ht="16.5" x14ac:dyDescent="0.25">
      <c r="A84" s="30" t="s">
        <v>160</v>
      </c>
      <c r="B84" s="12">
        <v>5</v>
      </c>
      <c r="C84" s="4" t="s">
        <v>5</v>
      </c>
      <c r="D84" s="13" t="s">
        <v>161</v>
      </c>
      <c r="E84" s="13" t="s">
        <v>145</v>
      </c>
    </row>
    <row r="85" spans="1:5" ht="16.5" x14ac:dyDescent="0.25">
      <c r="A85" s="30" t="s">
        <v>163</v>
      </c>
      <c r="B85" s="12">
        <f>8</f>
        <v>8</v>
      </c>
      <c r="C85" s="4" t="s">
        <v>5</v>
      </c>
      <c r="D85" s="13" t="s">
        <v>165</v>
      </c>
      <c r="E85" s="13" t="s">
        <v>145</v>
      </c>
    </row>
    <row r="86" spans="1:5" ht="16.5" x14ac:dyDescent="0.25">
      <c r="A86" s="30" t="s">
        <v>164</v>
      </c>
      <c r="B86" s="12">
        <f>7</f>
        <v>7</v>
      </c>
      <c r="C86" s="4" t="s">
        <v>5</v>
      </c>
      <c r="D86" s="13" t="s">
        <v>162</v>
      </c>
      <c r="E86" s="13" t="s">
        <v>145</v>
      </c>
    </row>
    <row r="87" spans="1:5" ht="16.5" x14ac:dyDescent="0.25">
      <c r="A87" s="30" t="s">
        <v>344</v>
      </c>
      <c r="B87" s="12">
        <v>1230</v>
      </c>
      <c r="C87" s="4" t="s">
        <v>5</v>
      </c>
      <c r="D87" s="18" t="s">
        <v>345</v>
      </c>
      <c r="E87" s="18" t="s">
        <v>172</v>
      </c>
    </row>
    <row r="88" spans="1:5" ht="16.5" x14ac:dyDescent="0.25">
      <c r="A88" s="30" t="s">
        <v>346</v>
      </c>
      <c r="B88" s="12">
        <v>920</v>
      </c>
      <c r="C88" s="4" t="s">
        <v>5</v>
      </c>
      <c r="D88" s="18" t="s">
        <v>347</v>
      </c>
      <c r="E88" s="18" t="s">
        <v>172</v>
      </c>
    </row>
    <row r="89" spans="1:5" ht="16.5" x14ac:dyDescent="0.25">
      <c r="A89" s="30" t="s">
        <v>348</v>
      </c>
      <c r="B89" s="12">
        <v>1</v>
      </c>
      <c r="C89" s="4" t="s">
        <v>5</v>
      </c>
      <c r="D89" s="18" t="s">
        <v>349</v>
      </c>
      <c r="E89" s="18" t="s">
        <v>172</v>
      </c>
    </row>
    <row r="90" spans="1:5" ht="16.5" x14ac:dyDescent="0.25">
      <c r="A90" s="30" t="s">
        <v>350</v>
      </c>
      <c r="B90" s="12">
        <f>11-B93</f>
        <v>9</v>
      </c>
      <c r="C90" s="4" t="s">
        <v>5</v>
      </c>
      <c r="D90" s="18" t="s">
        <v>351</v>
      </c>
      <c r="E90" s="18" t="s">
        <v>172</v>
      </c>
    </row>
    <row r="91" spans="1:5" ht="16.5" x14ac:dyDescent="0.25">
      <c r="A91" s="30" t="s">
        <v>352</v>
      </c>
      <c r="B91" s="12">
        <v>3</v>
      </c>
      <c r="C91" s="4" t="s">
        <v>5</v>
      </c>
      <c r="D91" s="18" t="s">
        <v>353</v>
      </c>
      <c r="E91" s="18" t="s">
        <v>172</v>
      </c>
    </row>
    <row r="92" spans="1:5" ht="16.5" x14ac:dyDescent="0.25">
      <c r="A92" s="30" t="s">
        <v>167</v>
      </c>
      <c r="B92" s="12">
        <f>225*2+B93*2+B4</f>
        <v>454</v>
      </c>
      <c r="C92" s="4" t="s">
        <v>5</v>
      </c>
      <c r="D92" s="18" t="s">
        <v>169</v>
      </c>
      <c r="E92" s="18" t="s">
        <v>172</v>
      </c>
    </row>
    <row r="93" spans="1:5" ht="16.5" x14ac:dyDescent="0.25">
      <c r="A93" s="30" t="s">
        <v>168</v>
      </c>
      <c r="B93" s="12">
        <v>2</v>
      </c>
      <c r="C93" s="4" t="s">
        <v>5</v>
      </c>
      <c r="D93" s="18" t="s">
        <v>171</v>
      </c>
      <c r="E93" s="18" t="s">
        <v>172</v>
      </c>
    </row>
    <row r="94" spans="1:5" ht="16.5" x14ac:dyDescent="0.25">
      <c r="A94" s="30" t="s">
        <v>188</v>
      </c>
      <c r="B94" s="12">
        <v>2</v>
      </c>
      <c r="C94" s="4" t="s">
        <v>5</v>
      </c>
      <c r="D94" s="13" t="s">
        <v>184</v>
      </c>
      <c r="E94" s="13" t="s">
        <v>145</v>
      </c>
    </row>
    <row r="95" spans="1:5" ht="16.5" x14ac:dyDescent="0.25">
      <c r="A95" s="30" t="s">
        <v>252</v>
      </c>
      <c r="B95" s="12">
        <v>2.5</v>
      </c>
      <c r="C95" s="4" t="s">
        <v>5</v>
      </c>
      <c r="D95" s="13" t="s">
        <v>253</v>
      </c>
      <c r="E95" s="13" t="s">
        <v>145</v>
      </c>
    </row>
    <row r="96" spans="1:5" ht="16.5" x14ac:dyDescent="0.25">
      <c r="A96" s="30" t="s">
        <v>173</v>
      </c>
      <c r="B96" s="12">
        <v>30</v>
      </c>
      <c r="C96" s="4" t="s">
        <v>175</v>
      </c>
      <c r="D96" s="13" t="s">
        <v>176</v>
      </c>
      <c r="E96" s="13" t="s">
        <v>172</v>
      </c>
    </row>
    <row r="97" spans="1:5" ht="16.5" x14ac:dyDescent="0.25">
      <c r="A97" s="30" t="s">
        <v>182</v>
      </c>
      <c r="B97" s="12">
        <v>3</v>
      </c>
      <c r="C97" s="4" t="s">
        <v>175</v>
      </c>
      <c r="D97" s="13" t="s">
        <v>183</v>
      </c>
      <c r="E97" s="13" t="s">
        <v>172</v>
      </c>
    </row>
    <row r="98" spans="1:5" ht="16.5" x14ac:dyDescent="0.25">
      <c r="A98" s="30" t="s">
        <v>177</v>
      </c>
      <c r="B98" s="12">
        <v>25</v>
      </c>
      <c r="C98" s="4" t="s">
        <v>5</v>
      </c>
      <c r="D98" s="13" t="s">
        <v>178</v>
      </c>
      <c r="E98" s="13" t="s">
        <v>172</v>
      </c>
    </row>
    <row r="99" spans="1:5" ht="16.5" x14ac:dyDescent="0.25">
      <c r="A99" s="30" t="s">
        <v>179</v>
      </c>
      <c r="B99" s="19">
        <f>(5*B98)*TAN(RADIANS(B97))</f>
        <v>6.550972410380151</v>
      </c>
      <c r="C99" s="4" t="s">
        <v>5</v>
      </c>
      <c r="D99" s="13" t="s">
        <v>181</v>
      </c>
      <c r="E99" s="13" t="s">
        <v>172</v>
      </c>
    </row>
    <row r="100" spans="1:5" ht="16.5" x14ac:dyDescent="0.25">
      <c r="A100" s="30" t="s">
        <v>174</v>
      </c>
      <c r="B100" s="12">
        <v>280</v>
      </c>
      <c r="C100" s="4" t="s">
        <v>5</v>
      </c>
      <c r="D100" s="13" t="s">
        <v>187</v>
      </c>
      <c r="E100" s="13" t="s">
        <v>170</v>
      </c>
    </row>
    <row r="101" spans="1:5" ht="16.5" x14ac:dyDescent="0.25">
      <c r="A101" s="30" t="s">
        <v>180</v>
      </c>
      <c r="B101" s="19">
        <f>B105</f>
        <v>874.00670915780279</v>
      </c>
      <c r="C101" s="4" t="s">
        <v>5</v>
      </c>
      <c r="D101" s="13" t="s">
        <v>166</v>
      </c>
      <c r="E101" s="13" t="s">
        <v>170</v>
      </c>
    </row>
    <row r="102" spans="1:5" ht="16.5" x14ac:dyDescent="0.25">
      <c r="A102" s="30" t="s">
        <v>191</v>
      </c>
      <c r="B102" s="19">
        <f>B82+2*(B99+2*B94)</f>
        <v>371.10194482076031</v>
      </c>
      <c r="C102" s="4" t="s">
        <v>5</v>
      </c>
      <c r="D102" s="20" t="s">
        <v>190</v>
      </c>
      <c r="E102" s="20" t="s">
        <v>185</v>
      </c>
    </row>
    <row r="103" spans="1:5" ht="16.5" x14ac:dyDescent="0.25">
      <c r="A103" s="30" t="s">
        <v>189</v>
      </c>
      <c r="B103" s="19">
        <f>DEGREES(ACOS(B102/B92))</f>
        <v>35.17412194689598</v>
      </c>
      <c r="C103" s="4" t="s">
        <v>175</v>
      </c>
      <c r="D103" s="20" t="s">
        <v>194</v>
      </c>
      <c r="E103" s="20" t="s">
        <v>185</v>
      </c>
    </row>
    <row r="104" spans="1:5" ht="16.5" x14ac:dyDescent="0.25">
      <c r="A104" s="30" t="s">
        <v>192</v>
      </c>
      <c r="B104" s="19">
        <f>B83+2*B94+B94*SIN(RADIANS(B97))+2*B99</f>
        <v>417.20661673324622</v>
      </c>
      <c r="C104" s="4" t="s">
        <v>5</v>
      </c>
      <c r="D104" s="20" t="s">
        <v>201</v>
      </c>
      <c r="E104" s="20" t="s">
        <v>185</v>
      </c>
    </row>
    <row r="105" spans="1:5" ht="16.5" x14ac:dyDescent="0.25">
      <c r="A105" s="30" t="s">
        <v>193</v>
      </c>
      <c r="B105" s="19">
        <f>B104+B106*_xlfn.COT(RADIANS(B96))</f>
        <v>874.00670915780279</v>
      </c>
      <c r="C105" s="4" t="s">
        <v>5</v>
      </c>
      <c r="D105" s="20" t="s">
        <v>202</v>
      </c>
      <c r="E105" s="20" t="s">
        <v>185</v>
      </c>
    </row>
    <row r="106" spans="1:5" ht="16.5" x14ac:dyDescent="0.25">
      <c r="A106" s="30" t="s">
        <v>195</v>
      </c>
      <c r="B106" s="19">
        <f>(B100-B108+B98+B98/2)+0.5*B92*(1-SIN(RADIANS(B103)))</f>
        <v>263.73365632716366</v>
      </c>
      <c r="C106" s="4" t="s">
        <v>5</v>
      </c>
      <c r="D106" s="20" t="s">
        <v>203</v>
      </c>
      <c r="E106" s="20" t="s">
        <v>185</v>
      </c>
    </row>
    <row r="107" spans="1:5" ht="16.5" x14ac:dyDescent="0.25">
      <c r="A107" s="30" t="s">
        <v>196</v>
      </c>
      <c r="B107" s="19">
        <f>0.5*B92*(1-SIN(RADIANS(B103)))</f>
        <v>96.233656327163686</v>
      </c>
      <c r="C107" s="4" t="s">
        <v>5</v>
      </c>
      <c r="D107" s="20" t="s">
        <v>197</v>
      </c>
      <c r="E107" s="20" t="s">
        <v>185</v>
      </c>
    </row>
    <row r="108" spans="1:5" ht="16.5" x14ac:dyDescent="0.25">
      <c r="A108" s="30" t="s">
        <v>186</v>
      </c>
      <c r="B108" s="19">
        <f>6*B98</f>
        <v>150</v>
      </c>
      <c r="C108" s="4" t="s">
        <v>5</v>
      </c>
      <c r="D108" s="21" t="s">
        <v>200</v>
      </c>
      <c r="E108" s="21" t="s">
        <v>206</v>
      </c>
    </row>
    <row r="109" spans="1:5" ht="16.5" x14ac:dyDescent="0.25">
      <c r="A109" s="30" t="s">
        <v>198</v>
      </c>
      <c r="B109" s="19">
        <f>B83+B94+B94*SIN(RADIANS(B97))</f>
        <v>402.10467191248591</v>
      </c>
      <c r="C109" s="4" t="s">
        <v>5</v>
      </c>
      <c r="D109" s="21" t="s">
        <v>204</v>
      </c>
      <c r="E109" s="21" t="s">
        <v>206</v>
      </c>
    </row>
    <row r="110" spans="1:5" ht="16.5" x14ac:dyDescent="0.25">
      <c r="A110" s="30" t="s">
        <v>199</v>
      </c>
      <c r="B110" s="19">
        <f>B109+B99+B98*_xlfn.COT(RADIANS(B96))</f>
        <v>451.95691451208802</v>
      </c>
      <c r="C110" s="4" t="s">
        <v>5</v>
      </c>
      <c r="D110" s="21" t="s">
        <v>205</v>
      </c>
      <c r="E110" s="21" t="s">
        <v>206</v>
      </c>
    </row>
    <row r="111" spans="1:5" ht="16.5" x14ac:dyDescent="0.25">
      <c r="A111" s="30" t="s">
        <v>227</v>
      </c>
      <c r="B111" s="12">
        <v>5</v>
      </c>
      <c r="C111" s="4" t="s">
        <v>5</v>
      </c>
      <c r="D111" s="22" t="s">
        <v>234</v>
      </c>
      <c r="E111" s="22" t="s">
        <v>206</v>
      </c>
    </row>
    <row r="112" spans="1:5" ht="16.5" x14ac:dyDescent="0.25">
      <c r="A112" s="30" t="s">
        <v>228</v>
      </c>
      <c r="B112" s="19">
        <f>B108-B94</f>
        <v>148</v>
      </c>
      <c r="C112" s="4" t="s">
        <v>5</v>
      </c>
      <c r="D112" s="22" t="s">
        <v>235</v>
      </c>
      <c r="E112" s="22" t="s">
        <v>206</v>
      </c>
    </row>
    <row r="113" spans="1:5" ht="16.5" x14ac:dyDescent="0.25">
      <c r="A113" s="30" t="s">
        <v>229</v>
      </c>
      <c r="B113" s="12">
        <f>20</f>
        <v>20</v>
      </c>
      <c r="C113" s="4" t="s">
        <v>5</v>
      </c>
      <c r="D113" s="22" t="s">
        <v>236</v>
      </c>
      <c r="E113" s="22" t="s">
        <v>206</v>
      </c>
    </row>
    <row r="114" spans="1:5" ht="16.5" x14ac:dyDescent="0.25">
      <c r="A114" s="30" t="s">
        <v>230</v>
      </c>
      <c r="B114" s="19">
        <f>B112</f>
        <v>148</v>
      </c>
      <c r="C114" s="4" t="s">
        <v>5</v>
      </c>
      <c r="D114" s="22" t="s">
        <v>237</v>
      </c>
      <c r="E114" s="22" t="s">
        <v>206</v>
      </c>
    </row>
    <row r="115" spans="1:5" ht="16.5" x14ac:dyDescent="0.25">
      <c r="A115" s="30" t="s">
        <v>231</v>
      </c>
      <c r="B115" s="12">
        <f>20</f>
        <v>20</v>
      </c>
      <c r="C115" s="4" t="s">
        <v>5</v>
      </c>
      <c r="D115" s="22" t="s">
        <v>238</v>
      </c>
      <c r="E115" s="22" t="s">
        <v>206</v>
      </c>
    </row>
    <row r="116" spans="1:5" ht="16.5" x14ac:dyDescent="0.25">
      <c r="A116" s="30" t="s">
        <v>232</v>
      </c>
      <c r="B116" s="12">
        <f>1</f>
        <v>1</v>
      </c>
      <c r="C116" s="4" t="s">
        <v>5</v>
      </c>
      <c r="D116" s="22" t="s">
        <v>233</v>
      </c>
      <c r="E116" s="22" t="s">
        <v>206</v>
      </c>
    </row>
    <row r="117" spans="1:5" ht="16.5" x14ac:dyDescent="0.25">
      <c r="A117" s="30" t="s">
        <v>239</v>
      </c>
      <c r="B117" s="12">
        <v>8</v>
      </c>
      <c r="C117" s="4" t="s">
        <v>5</v>
      </c>
      <c r="D117" s="22" t="s">
        <v>240</v>
      </c>
      <c r="E117" s="22" t="s">
        <v>206</v>
      </c>
    </row>
    <row r="118" spans="1:5" ht="16.5" x14ac:dyDescent="0.25">
      <c r="A118" s="30" t="s">
        <v>215</v>
      </c>
      <c r="B118" s="12">
        <v>1.5</v>
      </c>
      <c r="C118" s="4" t="s">
        <v>5</v>
      </c>
      <c r="D118" s="14" t="s">
        <v>214</v>
      </c>
      <c r="E118" s="14" t="s">
        <v>207</v>
      </c>
    </row>
    <row r="119" spans="1:5" ht="16.5" x14ac:dyDescent="0.25">
      <c r="A119" s="30" t="s">
        <v>213</v>
      </c>
      <c r="B119" s="12">
        <f>80</f>
        <v>80</v>
      </c>
      <c r="C119" s="4" t="s">
        <v>5</v>
      </c>
      <c r="D119" s="14" t="s">
        <v>208</v>
      </c>
      <c r="E119" s="14" t="s">
        <v>207</v>
      </c>
    </row>
    <row r="120" spans="1:5" ht="16.5" x14ac:dyDescent="0.25">
      <c r="A120" s="30" t="s">
        <v>216</v>
      </c>
      <c r="B120" s="19">
        <f>B18+2*B16+B75</f>
        <v>52</v>
      </c>
      <c r="C120" s="4" t="s">
        <v>5</v>
      </c>
      <c r="D120" s="14" t="s">
        <v>209</v>
      </c>
      <c r="E120" s="14" t="s">
        <v>207</v>
      </c>
    </row>
    <row r="121" spans="1:5" ht="16.5" x14ac:dyDescent="0.25">
      <c r="A121" s="30" t="s">
        <v>221</v>
      </c>
      <c r="B121" s="19">
        <f>65</f>
        <v>65</v>
      </c>
      <c r="C121" s="4" t="s">
        <v>5</v>
      </c>
      <c r="D121" s="14" t="s">
        <v>222</v>
      </c>
      <c r="E121" s="14" t="s">
        <v>207</v>
      </c>
    </row>
    <row r="122" spans="1:5" ht="16.5" x14ac:dyDescent="0.25">
      <c r="A122" s="30" t="s">
        <v>217</v>
      </c>
      <c r="B122" s="12">
        <v>200</v>
      </c>
      <c r="C122" s="4" t="s">
        <v>5</v>
      </c>
      <c r="D122" s="14" t="s">
        <v>210</v>
      </c>
      <c r="E122" s="14" t="s">
        <v>207</v>
      </c>
    </row>
    <row r="123" spans="1:5" ht="16.5" x14ac:dyDescent="0.25">
      <c r="A123" s="30" t="s">
        <v>218</v>
      </c>
      <c r="B123" s="12">
        <v>31.5</v>
      </c>
      <c r="C123" s="4" t="s">
        <v>220</v>
      </c>
      <c r="D123" s="14" t="s">
        <v>212</v>
      </c>
      <c r="E123" s="14" t="s">
        <v>207</v>
      </c>
    </row>
    <row r="124" spans="1:5" ht="16.5" x14ac:dyDescent="0.25">
      <c r="A124" s="30" t="s">
        <v>219</v>
      </c>
      <c r="B124" s="12">
        <v>50</v>
      </c>
      <c r="C124" s="4" t="s">
        <v>220</v>
      </c>
      <c r="D124" s="14" t="s">
        <v>211</v>
      </c>
      <c r="E124" s="14" t="s">
        <v>207</v>
      </c>
    </row>
    <row r="125" spans="1:5" ht="16.5" x14ac:dyDescent="0.25">
      <c r="A125" s="30" t="s">
        <v>223</v>
      </c>
      <c r="B125" s="12">
        <v>23</v>
      </c>
      <c r="C125" s="4" t="s">
        <v>220</v>
      </c>
      <c r="D125" s="14" t="s">
        <v>224</v>
      </c>
      <c r="E125" s="14" t="s">
        <v>207</v>
      </c>
    </row>
    <row r="126" spans="1:5" ht="16.5" x14ac:dyDescent="0.25">
      <c r="A126" s="30" t="s">
        <v>262</v>
      </c>
      <c r="B126" s="12">
        <v>17</v>
      </c>
      <c r="C126" s="4" t="s">
        <v>220</v>
      </c>
      <c r="D126" s="9" t="s">
        <v>263</v>
      </c>
      <c r="E126" s="9" t="s">
        <v>264</v>
      </c>
    </row>
    <row r="127" spans="1:5" ht="16.5" x14ac:dyDescent="0.25">
      <c r="A127" s="30" t="s">
        <v>266</v>
      </c>
      <c r="B127" s="12">
        <v>75</v>
      </c>
      <c r="C127" s="4" t="s">
        <v>220</v>
      </c>
      <c r="D127" s="23" t="s">
        <v>293</v>
      </c>
      <c r="E127" s="23" t="s">
        <v>335</v>
      </c>
    </row>
    <row r="128" spans="1:5" ht="16.5" x14ac:dyDescent="0.3">
      <c r="A128" s="30" t="s">
        <v>267</v>
      </c>
      <c r="B128" s="24">
        <f>(B127+B76)/COS(RADIANS(B97))</f>
        <v>77.105670641839922</v>
      </c>
      <c r="C128" s="4" t="s">
        <v>220</v>
      </c>
      <c r="D128" s="23" t="s">
        <v>294</v>
      </c>
      <c r="E128" s="23" t="s">
        <v>335</v>
      </c>
    </row>
    <row r="129" spans="1:5" ht="16.5" x14ac:dyDescent="0.25">
      <c r="A129" s="30" t="s">
        <v>339</v>
      </c>
      <c r="B129" s="12">
        <f>B127*SIN(RADIANS(B97))</f>
        <v>3.9251967182207874</v>
      </c>
      <c r="C129" s="4" t="s">
        <v>220</v>
      </c>
      <c r="D129" s="23" t="s">
        <v>338</v>
      </c>
      <c r="E129" s="23" t="s">
        <v>335</v>
      </c>
    </row>
    <row r="130" spans="1:5" ht="16.5" x14ac:dyDescent="0.25">
      <c r="A130" s="30" t="s">
        <v>340</v>
      </c>
      <c r="B130" s="12">
        <f>_xlfn.FLOOR.MATH(B129)+7</f>
        <v>10</v>
      </c>
      <c r="C130" s="4" t="s">
        <v>220</v>
      </c>
      <c r="D130" s="23" t="s">
        <v>341</v>
      </c>
      <c r="E130" s="23" t="s">
        <v>335</v>
      </c>
    </row>
    <row r="131" spans="1:5" ht="16.5" x14ac:dyDescent="0.25">
      <c r="A131" s="30" t="s">
        <v>276</v>
      </c>
      <c r="B131" s="10">
        <v>75</v>
      </c>
      <c r="C131" s="4" t="s">
        <v>220</v>
      </c>
      <c r="D131" s="8" t="s">
        <v>277</v>
      </c>
      <c r="E131" s="8" t="s">
        <v>336</v>
      </c>
    </row>
    <row r="132" spans="1:5" ht="16.5" x14ac:dyDescent="0.25">
      <c r="A132" s="33" t="s">
        <v>342</v>
      </c>
      <c r="B132" s="12">
        <v>325</v>
      </c>
      <c r="C132" s="4" t="s">
        <v>220</v>
      </c>
      <c r="D132" s="8" t="s">
        <v>362</v>
      </c>
      <c r="E132" s="8" t="s">
        <v>336</v>
      </c>
    </row>
    <row r="133" spans="1:5" ht="16.5" x14ac:dyDescent="0.25">
      <c r="A133" s="30" t="s">
        <v>268</v>
      </c>
      <c r="B133" s="12">
        <v>7</v>
      </c>
      <c r="C133" s="4" t="s">
        <v>220</v>
      </c>
      <c r="D133" s="8" t="s">
        <v>278</v>
      </c>
      <c r="E133" s="8" t="s">
        <v>336</v>
      </c>
    </row>
    <row r="134" spans="1:5" ht="16.5" x14ac:dyDescent="0.3">
      <c r="A134" s="30" t="s">
        <v>269</v>
      </c>
      <c r="B134" s="25" t="s">
        <v>271</v>
      </c>
      <c r="C134" s="4" t="s">
        <v>220</v>
      </c>
      <c r="D134" s="8" t="s">
        <v>279</v>
      </c>
      <c r="E134" s="8" t="s">
        <v>336</v>
      </c>
    </row>
    <row r="135" spans="1:5" ht="33" x14ac:dyDescent="0.25">
      <c r="A135" s="30" t="s">
        <v>270</v>
      </c>
      <c r="B135" s="12">
        <v>17</v>
      </c>
      <c r="C135" s="4" t="s">
        <v>220</v>
      </c>
      <c r="D135" s="26" t="s">
        <v>280</v>
      </c>
      <c r="E135" s="8" t="s">
        <v>336</v>
      </c>
    </row>
    <row r="136" spans="1:5" ht="49.5" x14ac:dyDescent="0.25">
      <c r="A136" s="30" t="s">
        <v>360</v>
      </c>
      <c r="B136" s="12">
        <v>6</v>
      </c>
      <c r="C136" s="4" t="s">
        <v>220</v>
      </c>
      <c r="D136" s="26" t="s">
        <v>361</v>
      </c>
      <c r="E136" s="8" t="s">
        <v>336</v>
      </c>
    </row>
    <row r="137" spans="1:5" ht="16.5" x14ac:dyDescent="0.3">
      <c r="A137" s="30" t="s">
        <v>358</v>
      </c>
      <c r="B137" s="27">
        <v>22</v>
      </c>
      <c r="C137" s="4" t="s">
        <v>175</v>
      </c>
      <c r="D137" s="8" t="s">
        <v>359</v>
      </c>
      <c r="E137" s="8" t="s">
        <v>336</v>
      </c>
    </row>
    <row r="138" spans="1:5" ht="16.5" x14ac:dyDescent="0.3">
      <c r="A138" s="30" t="s">
        <v>283</v>
      </c>
      <c r="B138" s="27">
        <f>DEGREES(ASIN((B133+2*B94+0.5*B82) / (B92*0.5)))</f>
        <v>55.023103276975512</v>
      </c>
      <c r="C138" s="4" t="s">
        <v>175</v>
      </c>
      <c r="D138" s="8" t="s">
        <v>284</v>
      </c>
      <c r="E138" s="8" t="s">
        <v>336</v>
      </c>
    </row>
    <row r="139" spans="1:5" ht="16.5" x14ac:dyDescent="0.3">
      <c r="A139" s="30" t="s">
        <v>272</v>
      </c>
      <c r="B139" s="27">
        <f>B83+2*B94+B136+B130</f>
        <v>420</v>
      </c>
      <c r="C139" s="4" t="s">
        <v>220</v>
      </c>
      <c r="D139" s="8" t="s">
        <v>281</v>
      </c>
      <c r="E139" s="8" t="s">
        <v>336</v>
      </c>
    </row>
    <row r="140" spans="1:5" ht="16.5" x14ac:dyDescent="0.25">
      <c r="A140" s="30" t="s">
        <v>273</v>
      </c>
      <c r="B140" s="10">
        <f>B131+B92*0.5-B92*0.5*COS(RADIANS(B138))</f>
        <v>171.87313882214787</v>
      </c>
      <c r="C140" s="4" t="s">
        <v>220</v>
      </c>
      <c r="D140" s="8" t="s">
        <v>282</v>
      </c>
      <c r="E140" s="8" t="s">
        <v>336</v>
      </c>
    </row>
    <row r="141" spans="1:5" ht="16.5" x14ac:dyDescent="0.25">
      <c r="A141" s="30" t="s">
        <v>354</v>
      </c>
      <c r="B141" s="10">
        <f>DEGREES(ASIN((B133+B94+0.5*B82) / (B92*0.5)))</f>
        <v>54.151922298725133</v>
      </c>
      <c r="C141" s="4" t="s">
        <v>175</v>
      </c>
      <c r="D141" s="8" t="s">
        <v>355</v>
      </c>
      <c r="E141" s="8" t="s">
        <v>336</v>
      </c>
    </row>
    <row r="142" spans="1:5" ht="16.5" x14ac:dyDescent="0.25">
      <c r="A142" s="30" t="s">
        <v>356</v>
      </c>
      <c r="B142" s="10">
        <f>B131+B92*0.5-B92*0.5*COS(RADIANS(B141))</f>
        <v>169.06016398385319</v>
      </c>
      <c r="C142" s="4" t="s">
        <v>220</v>
      </c>
      <c r="D142" s="8" t="s">
        <v>357</v>
      </c>
      <c r="E142" s="8" t="s">
        <v>336</v>
      </c>
    </row>
    <row r="143" spans="1:5" ht="16.5" x14ac:dyDescent="0.3">
      <c r="A143" s="30" t="s">
        <v>274</v>
      </c>
      <c r="B143" s="27">
        <f>B139+B140*_xlfn.COT(RADIANS(B96))</f>
        <v>717.69300889629903</v>
      </c>
      <c r="C143" s="4" t="s">
        <v>220</v>
      </c>
      <c r="D143" s="8" t="s">
        <v>285</v>
      </c>
      <c r="E143" s="8" t="s">
        <v>336</v>
      </c>
    </row>
    <row r="144" spans="1:5" ht="16.5" x14ac:dyDescent="0.3">
      <c r="A144" s="30" t="s">
        <v>275</v>
      </c>
      <c r="B144" s="27">
        <f>(B133+2*B94+0.5*B82) * 2</f>
        <v>372</v>
      </c>
      <c r="C144" s="4" t="s">
        <v>220</v>
      </c>
      <c r="D144" s="8" t="s">
        <v>190</v>
      </c>
      <c r="E144" s="8" t="s">
        <v>336</v>
      </c>
    </row>
    <row r="145" spans="1:5" ht="16.5" x14ac:dyDescent="0.3">
      <c r="A145" s="30" t="s">
        <v>288</v>
      </c>
      <c r="B145" s="25">
        <v>0.1</v>
      </c>
      <c r="C145" s="4" t="s">
        <v>220</v>
      </c>
      <c r="D145" s="18" t="s">
        <v>289</v>
      </c>
      <c r="E145" s="18" t="s">
        <v>337</v>
      </c>
    </row>
    <row r="146" spans="1:5" ht="16.5" x14ac:dyDescent="0.3">
      <c r="A146" s="30" t="s">
        <v>286</v>
      </c>
      <c r="B146" s="25">
        <v>6</v>
      </c>
      <c r="C146" s="4" t="s">
        <v>220</v>
      </c>
      <c r="D146" s="18" t="s">
        <v>290</v>
      </c>
      <c r="E146" s="18" t="s">
        <v>337</v>
      </c>
    </row>
    <row r="147" spans="1:5" ht="16.5" x14ac:dyDescent="0.25">
      <c r="A147" s="30" t="s">
        <v>287</v>
      </c>
      <c r="B147" s="12">
        <v>15</v>
      </c>
      <c r="C147" s="4" t="s">
        <v>220</v>
      </c>
      <c r="D147" s="18" t="s">
        <v>291</v>
      </c>
      <c r="E147" s="18" t="s">
        <v>337</v>
      </c>
    </row>
    <row r="148" spans="1:5" ht="16.5" x14ac:dyDescent="0.3">
      <c r="A148" s="30" t="s">
        <v>297</v>
      </c>
      <c r="B148" s="25">
        <f>B131</f>
        <v>75</v>
      </c>
      <c r="C148" s="4" t="s">
        <v>220</v>
      </c>
      <c r="D148" s="18" t="s">
        <v>292</v>
      </c>
      <c r="E148" s="18" t="s">
        <v>337</v>
      </c>
    </row>
    <row r="149" spans="1:5" ht="16.5" x14ac:dyDescent="0.3">
      <c r="A149" s="30" t="s">
        <v>295</v>
      </c>
      <c r="B149" s="27">
        <f>B72/2-15-1.5*B147-B145+0.1</f>
        <v>162.5</v>
      </c>
      <c r="C149" s="4" t="s">
        <v>220</v>
      </c>
      <c r="D149" s="18" t="s">
        <v>296</v>
      </c>
      <c r="E149" s="18" t="s">
        <v>337</v>
      </c>
    </row>
    <row r="150" spans="1:5" ht="16.5" x14ac:dyDescent="0.3">
      <c r="A150" s="30" t="s">
        <v>303</v>
      </c>
      <c r="B150" s="25">
        <v>1.5</v>
      </c>
      <c r="C150" s="4" t="s">
        <v>220</v>
      </c>
      <c r="D150" s="17" t="s">
        <v>304</v>
      </c>
      <c r="E150" s="17" t="s">
        <v>305</v>
      </c>
    </row>
    <row r="151" spans="1:5" ht="16.5" x14ac:dyDescent="0.3">
      <c r="A151" s="30" t="s">
        <v>323</v>
      </c>
      <c r="B151" s="25">
        <v>1.8</v>
      </c>
      <c r="C151" s="4" t="s">
        <v>220</v>
      </c>
      <c r="D151" s="17" t="s">
        <v>304</v>
      </c>
      <c r="E151" s="17" t="s">
        <v>305</v>
      </c>
    </row>
    <row r="152" spans="1:5" ht="16.5" x14ac:dyDescent="0.3">
      <c r="A152" s="30" t="s">
        <v>298</v>
      </c>
      <c r="B152" s="25">
        <v>204</v>
      </c>
      <c r="C152" s="4" t="s">
        <v>220</v>
      </c>
      <c r="D152" s="17" t="s">
        <v>306</v>
      </c>
      <c r="E152" s="17" t="s">
        <v>305</v>
      </c>
    </row>
    <row r="153" spans="1:5" ht="16.5" x14ac:dyDescent="0.25">
      <c r="A153" s="30" t="s">
        <v>299</v>
      </c>
      <c r="B153" s="12">
        <v>159</v>
      </c>
      <c r="C153" s="4" t="s">
        <v>220</v>
      </c>
      <c r="D153" s="17" t="s">
        <v>307</v>
      </c>
      <c r="E153" s="17" t="s">
        <v>305</v>
      </c>
    </row>
    <row r="154" spans="1:5" ht="16.5" x14ac:dyDescent="0.25">
      <c r="A154" s="30" t="s">
        <v>311</v>
      </c>
      <c r="B154" s="12">
        <v>50</v>
      </c>
      <c r="C154" s="4" t="s">
        <v>220</v>
      </c>
      <c r="D154" s="17" t="s">
        <v>343</v>
      </c>
      <c r="E154" s="17" t="s">
        <v>305</v>
      </c>
    </row>
    <row r="155" spans="1:5" ht="16.5" x14ac:dyDescent="0.3">
      <c r="A155" s="30" t="s">
        <v>300</v>
      </c>
      <c r="B155" s="25">
        <v>5</v>
      </c>
      <c r="C155" s="4" t="s">
        <v>220</v>
      </c>
      <c r="D155" s="17" t="s">
        <v>308</v>
      </c>
      <c r="E155" s="17" t="s">
        <v>305</v>
      </c>
    </row>
    <row r="156" spans="1:5" ht="16.5" x14ac:dyDescent="0.3">
      <c r="A156" s="30" t="s">
        <v>301</v>
      </c>
      <c r="B156" s="25">
        <v>50</v>
      </c>
      <c r="C156" s="4" t="s">
        <v>220</v>
      </c>
      <c r="D156" s="17" t="s">
        <v>309</v>
      </c>
      <c r="E156" s="17" t="s">
        <v>305</v>
      </c>
    </row>
    <row r="157" spans="1:5" ht="16.5" x14ac:dyDescent="0.3">
      <c r="A157" s="30" t="s">
        <v>302</v>
      </c>
      <c r="B157" s="25">
        <v>30</v>
      </c>
      <c r="C157" s="4" t="s">
        <v>220</v>
      </c>
      <c r="D157" s="17" t="s">
        <v>310</v>
      </c>
      <c r="E157" s="17" t="s">
        <v>305</v>
      </c>
    </row>
    <row r="158" spans="1:5" ht="16.5" x14ac:dyDescent="0.3">
      <c r="A158" s="30" t="s">
        <v>311</v>
      </c>
      <c r="B158" s="25">
        <v>15</v>
      </c>
      <c r="C158" s="4" t="s">
        <v>5</v>
      </c>
      <c r="D158" s="17" t="s">
        <v>313</v>
      </c>
      <c r="E158" s="17" t="s">
        <v>305</v>
      </c>
    </row>
    <row r="159" spans="1:5" ht="16.5" x14ac:dyDescent="0.3">
      <c r="A159" s="30" t="s">
        <v>312</v>
      </c>
      <c r="B159" s="25">
        <v>5</v>
      </c>
      <c r="C159" s="4" t="s">
        <v>5</v>
      </c>
      <c r="D159" s="17" t="s">
        <v>314</v>
      </c>
      <c r="E159" s="17" t="s">
        <v>305</v>
      </c>
    </row>
    <row r="160" spans="1:5" ht="16.5" x14ac:dyDescent="0.3">
      <c r="A160" s="30" t="s">
        <v>316</v>
      </c>
      <c r="B160" s="27">
        <f>_xlfn.CEILING.MATH(B162)</f>
        <v>8</v>
      </c>
      <c r="C160" s="4" t="s">
        <v>5</v>
      </c>
      <c r="D160" s="17" t="s">
        <v>317</v>
      </c>
      <c r="E160" s="17" t="s">
        <v>305</v>
      </c>
    </row>
    <row r="161" spans="1:5" ht="16.5" x14ac:dyDescent="0.3">
      <c r="A161" s="30" t="s">
        <v>322</v>
      </c>
      <c r="B161" s="25">
        <v>10</v>
      </c>
      <c r="C161" s="4" t="s">
        <v>5</v>
      </c>
      <c r="D161" s="17" t="s">
        <v>321</v>
      </c>
      <c r="E161" s="17" t="s">
        <v>305</v>
      </c>
    </row>
    <row r="162" spans="1:5" ht="16.5" x14ac:dyDescent="0.3">
      <c r="A162" s="30" t="s">
        <v>315</v>
      </c>
      <c r="B162" s="24">
        <f>6.5-B151+3</f>
        <v>7.7</v>
      </c>
      <c r="C162" s="4" t="s">
        <v>5</v>
      </c>
      <c r="D162" s="17" t="s">
        <v>318</v>
      </c>
      <c r="E162" s="17" t="s">
        <v>305</v>
      </c>
    </row>
    <row r="163" spans="1:5" ht="16.5" x14ac:dyDescent="0.3">
      <c r="A163" s="30" t="s">
        <v>319</v>
      </c>
      <c r="B163" s="24">
        <f>B162-B160</f>
        <v>-0.29999999999999982</v>
      </c>
      <c r="C163" s="4" t="s">
        <v>5</v>
      </c>
      <c r="D163" s="17" t="s">
        <v>320</v>
      </c>
      <c r="E163" s="17" t="s">
        <v>305</v>
      </c>
    </row>
    <row r="164" spans="1:5" ht="16.5" x14ac:dyDescent="0.3">
      <c r="A164" s="30" t="s">
        <v>324</v>
      </c>
      <c r="B164" s="24">
        <f>B152+0.5*B161*2</f>
        <v>214</v>
      </c>
      <c r="C164" s="4" t="s">
        <v>5</v>
      </c>
      <c r="D164" s="17" t="s">
        <v>326</v>
      </c>
      <c r="E164" s="17" t="s">
        <v>305</v>
      </c>
    </row>
    <row r="165" spans="1:5" ht="16.5" x14ac:dyDescent="0.3">
      <c r="A165" s="30" t="s">
        <v>327</v>
      </c>
      <c r="B165" s="24">
        <f>B153-0.5*B161*2</f>
        <v>149</v>
      </c>
      <c r="C165" s="4" t="s">
        <v>5</v>
      </c>
      <c r="D165" s="17" t="s">
        <v>325</v>
      </c>
      <c r="E165" s="17" t="s">
        <v>305</v>
      </c>
    </row>
    <row r="166" spans="1:5" ht="16.5" x14ac:dyDescent="0.3">
      <c r="A166" s="30" t="s">
        <v>328</v>
      </c>
      <c r="B166" s="24">
        <v>20</v>
      </c>
      <c r="C166" s="4" t="s">
        <v>5</v>
      </c>
      <c r="D166" s="17" t="s">
        <v>309</v>
      </c>
      <c r="E166" s="17" t="s">
        <v>305</v>
      </c>
    </row>
    <row r="167" spans="1:5" ht="16.5" x14ac:dyDescent="0.3">
      <c r="A167" s="30" t="s">
        <v>329</v>
      </c>
      <c r="B167" s="24">
        <v>10</v>
      </c>
      <c r="C167" s="4" t="s">
        <v>5</v>
      </c>
      <c r="D167" s="17" t="s">
        <v>310</v>
      </c>
      <c r="E167" s="17" t="s">
        <v>305</v>
      </c>
    </row>
    <row r="168" spans="1:5" ht="16.5" x14ac:dyDescent="0.3">
      <c r="A168" s="30" t="s">
        <v>330</v>
      </c>
      <c r="B168" s="24">
        <v>2</v>
      </c>
      <c r="C168" s="4" t="s">
        <v>5</v>
      </c>
      <c r="D168" s="17" t="s">
        <v>331</v>
      </c>
      <c r="E168" s="17" t="s">
        <v>305</v>
      </c>
    </row>
    <row r="169" spans="1:5" ht="16.5" x14ac:dyDescent="0.3">
      <c r="A169" s="30" t="s">
        <v>332</v>
      </c>
      <c r="B169" s="24">
        <f>2*B168</f>
        <v>4</v>
      </c>
      <c r="C169" s="4" t="s">
        <v>5</v>
      </c>
      <c r="D169" s="28" t="s">
        <v>333</v>
      </c>
      <c r="E169" s="17" t="s">
        <v>334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Крисковец</dc:creator>
  <cp:lastModifiedBy>Дмитрий Крисковец</cp:lastModifiedBy>
  <dcterms:created xsi:type="dcterms:W3CDTF">2015-06-05T18:17:20Z</dcterms:created>
  <dcterms:modified xsi:type="dcterms:W3CDTF">2026-09-21T09:00:45Z</dcterms:modified>
</cp:coreProperties>
</file>